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9C81643B-18F2-439D-A691-0F9F1B564115}" xr6:coauthVersionLast="47" xr6:coauthVersionMax="47" xr10:uidLastSave="{00000000-0000-0000-0000-000000000000}"/>
  <bookViews>
    <workbookView xWindow="-120" yWindow="-120" windowWidth="29040" windowHeight="15720" tabRatio="918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P19" i="7"/>
  <c r="P20" i="7"/>
  <c r="L16" i="7"/>
  <c r="P16" i="7" s="1"/>
  <c r="L17" i="7"/>
  <c r="P17" i="7" s="1"/>
  <c r="L18" i="7"/>
  <c r="P18" i="7" s="1"/>
  <c r="L19" i="7"/>
  <c r="L20" i="7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AE20" i="17" s="1"/>
  <c r="G12" i="9"/>
  <c r="G6" i="2"/>
  <c r="N23" i="6" s="1"/>
  <c r="G7" i="2"/>
  <c r="G8" i="2"/>
  <c r="G9" i="2"/>
  <c r="N26" i="6" s="1"/>
  <c r="G10" i="2"/>
  <c r="N27" i="6" s="1"/>
  <c r="G11" i="2"/>
  <c r="N28" i="6" s="1"/>
  <c r="G5" i="2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E15" i="17" s="1"/>
  <c r="AA16" i="17"/>
  <c r="AA17" i="17"/>
  <c r="AA18" i="17"/>
  <c r="AE18" i="17" s="1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G12" i="2"/>
  <c r="N30" i="6" s="1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X16" i="7" s="1"/>
  <c r="Q50" i="16"/>
  <c r="Q52" i="16" s="1"/>
  <c r="M50" i="16"/>
  <c r="AJ16" i="17" s="1"/>
  <c r="D25" i="19"/>
  <c r="N98" i="6" l="1"/>
  <c r="X16" i="6"/>
  <c r="G16" i="6"/>
  <c r="H11" i="7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2" i="7" s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<sst xmlns="http://schemas.openxmlformats.org/spreadsheetml/2006/main" count="300" uniqueCount="252">
  <si>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</si>
  <si>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</si>
  <si>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</si>
  <si>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</si>
  <si>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</si>
  <si>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</si>
  <si>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</si>
  <si>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</si>
  <si>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</si>
  <si>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</si>
  <si>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</si>
  <si>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</si>
  <si>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</si>
  <si>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</si>
  <si>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</si>
  <si>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</si>
  <si>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</si>
  <si>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</si>
  <si>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</si>
  <si>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</si>
  <si>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</si>
  <si>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</si>
  <si>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</si>
  <si>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</si>
  <si>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</si>
  <si>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</si>
  <si>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</si>
  <si>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</si>
  <si>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</si>
  <si>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</si>
  <si>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</si>
  <si>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</si>
  <si>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</si>
  <si>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</si>
  <si>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</si>
  <si>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</si>
  <si>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</si>
  <si>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</si>
  <si>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</si>
  <si>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</si>
  <si>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</si>
  <si>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</si>
  <si>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</si>
  <si>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</si>
  <si>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</si>
  <si>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</si>
  <si>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</si>
  <si>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</si>
  <si>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</si>
  <si>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</si>
  <si>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</si>
  <si>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</si>
  <si>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</si>
  <si>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</si>
  <si>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</si>
  <si>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</si>
  <si>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</si>
  <si>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</si>
  <si>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</si>
  <si>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</si>
  <si>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</si>
  <si>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</si>
  <si>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</si>
  <si>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</si>
  <si>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</si>
  <si>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</si>
  <si>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</si>
  <si>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</si>
  <si>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</si>
  <si>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</si>
  <si>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</si>
  <si>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</si>
  <si>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</si>
  <si>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</si>
  <si>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</si>
  <si>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</si>
  <si>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</si>
  <si>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</si>
  <si>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</si>
  <si>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</si>
  <si>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</si>
  <si>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</si>
  <si>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</si>
  <si>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</si>
  <si>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</si>
  <si>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</si>
  <si>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</si>
  <si>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</si>
  <si>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</si>
  <si>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</si>
  <si>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</si>
  <si>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</si>
  <si>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</si>
  <si>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</si>
  <si>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</si>
  <si>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</si>
  <si>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</si>
  <si>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</si>
  <si>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</si>
  <si>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</si>
  <si>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</si>
  <si>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</si>
  <si>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</si>
  <si>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</si>
  <si>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</si>
  <si>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</si>
  <si>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</si>
  <si>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</si>
  <si>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</si>
  <si>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</si>
  <si>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</si>
  <si>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</si>
  <si>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</si>
  <si>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</si>
  <si>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</si>
  <si>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</si>
  <si>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</si>
  <si>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</si>
  <si>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</si>
  <si>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</si>
  <si>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</si>
  <si>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</si>
  <si>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</si>
  <si>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</si>
  <si>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</si>
  <si>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</si>
  <si>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</si>
  <si>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</si>
  <si>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</si>
  <si>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</si>
  <si>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</si>
  <si>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</si>
  <si>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</si>
  <si>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</si>
  <si>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</si>
  <si>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</si>
  <si>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</si>
  <si>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</si>
  <si>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</si>
  <si>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</si>
  <si>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</si>
  <si>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</si>
  <si>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</si>
  <si>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</si>
  <si>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</si>
  <si>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</si>
  <si>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</si>
  <si>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</si>
  <si>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</si>
  <si>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</si>
  <si>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</si>
  <si>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</si>
  <si>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</si>
  <si>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</si>
  <si>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</si>
  <si>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</si>
  <si>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</si>
  <si>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</si>
  <si>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</si>
  <si>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</si>
  <si>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</si>
  <si>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</si>
  <si>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</si>
  <si>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</si>
  <si>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</si>
  <si>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</si>
  <si>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</si>
  <si>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</si>
  <si>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</si>
  <si>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</si>
  <si>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</si>
  <si>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</si>
  <si>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</si>
  <si>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</si>
  <si>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</si>
  <si>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Sayaç Endekslerinin Okunması, Mobil Okuma Cihazı İle Tespiti ve Makbuz Dağıtılması İşlemi</t>
  </si>
  <si>
    <t>KASKİ-02</t>
  </si>
  <si>
    <t>Sayaç Endekslerinin Yerinde Yapılan Kontrollerde Tespit Edilememesi (kıyas okuma veya evde yok okuma) İşlemi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</si>
  <si>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</si>
  <si>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</si>
  <si>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</si>
  <si>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</si>
  <si>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</si>
  <si>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</si>
  <si>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</si>
  <si>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</si>
  <si>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</si>
  <si>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>Mühürsüz Sayaçların Mühürlemesi</t>
  </si>
  <si>
    <t>Sayaç Sökme ve Sayaç Takma</t>
  </si>
  <si>
    <t>Su Kapama veya Su Açma</t>
  </si>
  <si>
    <t>Sayaç Alımı (Teknik Şartnamede Özellikleri Belirtilen) DN20 190 MM</t>
  </si>
  <si>
    <t>İçme Suyu Hatlarında Sayaçlı Abonesiz, Sayaçsız ve Kaçak Kullanımın Tespit Edilmesi ve Raporlanması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</si>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</sst>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3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zoomScale="120" zoomScaleNormal="120" zoomScaleSheetLayoutView="120" workbookViewId="0">
      <selection activeCell="D8" sqref="D8:N8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200" t="s">
        <v>184</v>
      </c>
      <c r="B1" s="201"/>
      <c r="C1" s="20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2"/>
    </row>
    <row r="2" spans="1:14" ht="41.45" customHeight="1">
      <c r="A2" s="202" t="s">
        <v>0</v>
      </c>
      <c r="B2" s="203"/>
      <c r="C2" s="203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90"/>
    </row>
    <row r="3" spans="1:14" ht="13.9" customHeight="1">
      <c r="A3" s="198" t="s">
        <v>4</v>
      </c>
      <c r="B3" s="199"/>
      <c r="C3" s="19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90"/>
    </row>
    <row r="4" spans="1:14" ht="13.9" customHeight="1">
      <c r="A4" s="198" t="s">
        <v>250</v>
      </c>
      <c r="B4" s="199"/>
      <c r="C4" s="199"/>
      <c r="D4" s="189"/>
      <c r="E4" s="189"/>
      <c r="F4" s="189"/>
      <c r="G4" s="189"/>
      <c r="H4" s="189"/>
      <c r="I4" s="189"/>
      <c r="J4" s="189"/>
      <c r="K4" s="189"/>
      <c r="L4" s="189"/>
      <c r="M4" s="189"/>
      <c r="N4" s="190"/>
    </row>
    <row r="5" spans="1:14" ht="13.9" customHeight="1">
      <c r="A5" s="198" t="s">
        <v>251</v>
      </c>
      <c r="B5" s="199"/>
      <c r="C5" s="199"/>
      <c r="D5" s="189"/>
      <c r="E5" s="189"/>
      <c r="F5" s="189"/>
      <c r="G5" s="189"/>
      <c r="H5" s="189"/>
      <c r="I5" s="189"/>
      <c r="J5" s="189"/>
      <c r="K5" s="189"/>
      <c r="L5" s="189"/>
      <c r="M5" s="189"/>
      <c r="N5" s="190"/>
    </row>
    <row r="6" spans="1:14" ht="13.9" customHeight="1">
      <c r="A6" s="198" t="s">
        <v>14</v>
      </c>
      <c r="B6" s="199"/>
      <c r="C6" s="19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90"/>
    </row>
    <row r="7" spans="1:14" ht="13.9" customHeight="1">
      <c r="A7" s="198" t="s">
        <v>5</v>
      </c>
      <c r="B7" s="199"/>
      <c r="C7" s="199"/>
      <c r="D7" s="193"/>
      <c r="E7" s="193"/>
      <c r="F7" s="193"/>
      <c r="G7" s="193"/>
      <c r="H7" s="193"/>
      <c r="I7" s="193"/>
      <c r="J7" s="193"/>
      <c r="K7" s="193"/>
      <c r="L7" s="193"/>
      <c r="M7" s="193"/>
      <c r="N7" s="194"/>
    </row>
    <row r="8" spans="1:14" ht="13.9" customHeight="1">
      <c r="A8" s="198" t="s">
        <v>3</v>
      </c>
      <c r="B8" s="199"/>
      <c r="C8" s="199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8"/>
    </row>
    <row r="9" spans="1:14" ht="13.9" customHeight="1">
      <c r="A9" s="198" t="s">
        <v>146</v>
      </c>
      <c r="B9" s="199"/>
      <c r="C9" s="199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2"/>
    </row>
    <row r="10" spans="1:14" ht="13.9" customHeight="1">
      <c r="A10" s="198" t="s">
        <v>6</v>
      </c>
      <c r="B10" s="199"/>
      <c r="C10" s="199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4"/>
    </row>
    <row r="11" spans="1:14" ht="13.9" customHeight="1">
      <c r="A11" s="198" t="s">
        <v>7</v>
      </c>
      <c r="B11" s="199"/>
      <c r="C11" s="199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4"/>
    </row>
    <row r="12" spans="1:14" ht="13.9" customHeight="1">
      <c r="A12" s="198" t="s">
        <v>8</v>
      </c>
      <c r="B12" s="199"/>
      <c r="C12" s="19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90"/>
    </row>
    <row r="13" spans="1:14" ht="13.9" customHeight="1">
      <c r="A13" s="198" t="s">
        <v>183</v>
      </c>
      <c r="B13" s="199"/>
      <c r="C13" s="199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4"/>
    </row>
    <row r="14" spans="1:14" ht="13.9" customHeight="1">
      <c r="A14" s="198" t="s">
        <v>160</v>
      </c>
      <c r="B14" s="199"/>
      <c r="C14" s="19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90"/>
    </row>
    <row r="15" spans="1:14" ht="13.9" customHeight="1">
      <c r="A15" s="198" t="s">
        <v>17</v>
      </c>
      <c r="B15" s="199"/>
      <c r="C15" s="19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90"/>
    </row>
    <row r="16" spans="1:14" ht="13.9" customHeight="1">
      <c r="A16" s="198" t="s">
        <v>105</v>
      </c>
      <c r="B16" s="199"/>
      <c r="C16" s="19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90"/>
    </row>
    <row r="17" spans="1:14" ht="13.9" customHeight="1">
      <c r="A17" s="198" t="s">
        <v>106</v>
      </c>
      <c r="B17" s="199"/>
      <c r="C17" s="19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90"/>
    </row>
    <row r="18" spans="1:14" ht="13.9" customHeight="1">
      <c r="A18" s="198" t="s">
        <v>9</v>
      </c>
      <c r="B18" s="199"/>
      <c r="C18" s="19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90"/>
    </row>
    <row r="19" spans="1:14" ht="13.9" customHeight="1">
      <c r="A19" s="198" t="s">
        <v>106</v>
      </c>
      <c r="B19" s="199"/>
      <c r="C19" s="19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90"/>
    </row>
    <row r="20" spans="1:14" ht="13.9" customHeight="1">
      <c r="A20" s="198" t="s">
        <v>1</v>
      </c>
      <c r="B20" s="199"/>
      <c r="C20" s="199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4"/>
    </row>
    <row r="21" spans="1:14" ht="13.9" customHeight="1">
      <c r="A21" s="198" t="s">
        <v>10</v>
      </c>
      <c r="B21" s="199"/>
      <c r="C21" s="199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4"/>
    </row>
    <row r="22" spans="1:14" ht="13.9" customHeight="1">
      <c r="A22" s="198" t="s">
        <v>2</v>
      </c>
      <c r="B22" s="199"/>
      <c r="C22" s="19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90"/>
    </row>
    <row r="23" spans="1:14" ht="13.9" customHeight="1">
      <c r="A23" s="198" t="s">
        <v>11</v>
      </c>
      <c r="B23" s="199"/>
      <c r="C23" s="199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2"/>
    </row>
    <row r="24" spans="1:14" ht="13.9" customHeight="1">
      <c r="A24" s="198" t="s">
        <v>12</v>
      </c>
      <c r="B24" s="199"/>
      <c r="C24" s="199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4"/>
    </row>
    <row r="25" spans="1:14" ht="13.9" customHeight="1">
      <c r="A25" s="198" t="s">
        <v>215</v>
      </c>
      <c r="B25" s="199"/>
      <c r="C25" s="199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6"/>
    </row>
    <row r="26" spans="1:14" ht="13.9" customHeight="1">
      <c r="A26" s="198" t="s">
        <v>214</v>
      </c>
      <c r="B26" s="199"/>
      <c r="C26" s="199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6"/>
    </row>
    <row r="27" spans="1:14" ht="13.9" customHeight="1">
      <c r="A27" s="179" t="s">
        <v>238</v>
      </c>
      <c r="B27" s="170"/>
      <c r="C27" s="169" t="s">
        <v>248</v>
      </c>
      <c r="D27" s="170"/>
      <c r="E27" s="169" t="s">
        <v>239</v>
      </c>
      <c r="F27" s="170"/>
      <c r="G27" s="169" t="s">
        <v>240</v>
      </c>
      <c r="H27" s="170"/>
      <c r="I27" s="169" t="s">
        <v>241</v>
      </c>
      <c r="J27" s="170"/>
      <c r="K27" s="169" t="s">
        <v>242</v>
      </c>
      <c r="L27" s="170"/>
      <c r="M27" s="169" t="s">
        <v>243</v>
      </c>
      <c r="N27" s="173"/>
    </row>
    <row r="28" spans="1:14">
      <c r="A28" s="180"/>
      <c r="B28" s="172"/>
      <c r="C28" s="171"/>
      <c r="D28" s="172"/>
      <c r="E28" s="171"/>
      <c r="F28" s="172"/>
      <c r="G28" s="171"/>
      <c r="H28" s="172"/>
      <c r="I28" s="171"/>
      <c r="J28" s="172"/>
      <c r="K28" s="171"/>
      <c r="L28" s="172"/>
      <c r="M28" s="171"/>
      <c r="N28" s="174"/>
    </row>
    <row r="29" spans="1:14" ht="18.600000000000001" customHeight="1" thickBot="1">
      <c r="A29" s="175"/>
      <c r="B29" s="176"/>
      <c r="C29" s="177"/>
      <c r="D29" s="176"/>
      <c r="E29" s="177"/>
      <c r="F29" s="176"/>
      <c r="G29" s="177"/>
      <c r="H29" s="176"/>
      <c r="I29" s="177"/>
      <c r="J29" s="176"/>
      <c r="K29" s="177"/>
      <c r="L29" s="176"/>
      <c r="M29" s="177"/>
      <c r="N29" s="178"/>
    </row>
    <row r="30" spans="1:14" ht="15.75" thickTop="1">
      <c r="A30" s="195" t="s">
        <v>244</v>
      </c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7"/>
    </row>
    <row r="31" spans="1:14" ht="22.9" customHeight="1">
      <c r="A31" s="165" t="s">
        <v>245</v>
      </c>
      <c r="B31" s="166"/>
      <c r="C31" s="166" t="s">
        <v>249</v>
      </c>
      <c r="D31" s="166"/>
      <c r="E31" s="166" t="s">
        <v>246</v>
      </c>
      <c r="F31" s="166"/>
      <c r="G31" s="166" t="s">
        <v>247</v>
      </c>
      <c r="H31" s="166"/>
      <c r="I31" s="160"/>
      <c r="J31" s="160"/>
      <c r="K31" s="160"/>
      <c r="L31" s="160"/>
      <c r="M31" s="160"/>
      <c r="N31" s="161"/>
    </row>
    <row r="32" spans="1:14" ht="20.45" customHeight="1" thickBot="1">
      <c r="A32" s="167"/>
      <c r="B32" s="168"/>
      <c r="C32" s="162"/>
      <c r="D32" s="162"/>
      <c r="E32" s="162"/>
      <c r="F32" s="162"/>
      <c r="G32" s="162"/>
      <c r="H32" s="162"/>
      <c r="I32" s="163"/>
      <c r="J32" s="163"/>
      <c r="K32" s="163"/>
      <c r="L32" s="163"/>
      <c r="M32" s="163"/>
      <c r="N32" s="164"/>
    </row>
    <row r="33" spans="1:8">
      <c r="A33" s="146"/>
      <c r="B33" s="146"/>
      <c r="C33" s="146"/>
      <c r="D33" s="146"/>
      <c r="E33" s="146"/>
      <c r="F33" s="146"/>
      <c r="G33" s="146"/>
      <c r="H33" s="146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33"/>
      <c r="B1" s="334"/>
      <c r="C1" s="334"/>
      <c r="D1" s="334"/>
      <c r="E1" s="334"/>
      <c r="F1" s="334"/>
      <c r="G1" s="337">
        <f>Bilgiler!D1</f>
        <v>0</v>
      </c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9">
        <f>Bilgiler!$D$2</f>
        <v>0</v>
      </c>
      <c r="W1" s="340"/>
      <c r="X1" s="340"/>
      <c r="Y1" s="340"/>
      <c r="Z1" s="340"/>
      <c r="AA1" s="340"/>
      <c r="AB1" s="340"/>
      <c r="AC1" s="340"/>
      <c r="AD1" s="340"/>
      <c r="AE1" s="340"/>
      <c r="AF1" s="340"/>
      <c r="AG1" s="340"/>
      <c r="AH1" s="340"/>
      <c r="AI1" s="340"/>
      <c r="AJ1" s="340"/>
      <c r="AK1" s="340"/>
      <c r="AL1" s="340"/>
      <c r="AM1" s="340"/>
      <c r="AN1" s="340"/>
      <c r="AO1" s="340"/>
      <c r="AP1" s="340"/>
      <c r="AQ1" s="340"/>
      <c r="AR1" s="340"/>
      <c r="AS1" s="340"/>
      <c r="AT1" s="341"/>
      <c r="AU1" s="305" t="s">
        <v>101</v>
      </c>
      <c r="AV1" s="306"/>
      <c r="AW1" s="306"/>
      <c r="AX1" s="306"/>
      <c r="AY1" s="306"/>
      <c r="AZ1" s="306"/>
      <c r="BA1" s="327"/>
      <c r="BB1" s="305">
        <f>Bilgiler!$D$12</f>
        <v>0</v>
      </c>
      <c r="BC1" s="306"/>
      <c r="BD1" s="306"/>
      <c r="BE1" s="306"/>
      <c r="BF1" s="306"/>
      <c r="BG1" s="306"/>
      <c r="BH1" s="307"/>
    </row>
    <row r="2" spans="1:61" ht="15.6" customHeight="1">
      <c r="A2" s="335"/>
      <c r="B2" s="336"/>
      <c r="C2" s="336"/>
      <c r="D2" s="336"/>
      <c r="E2" s="336"/>
      <c r="F2" s="336"/>
      <c r="G2" s="338"/>
      <c r="H2" s="338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42"/>
      <c r="W2" s="343"/>
      <c r="X2" s="343"/>
      <c r="Y2" s="343"/>
      <c r="Z2" s="343"/>
      <c r="AA2" s="343"/>
      <c r="AB2" s="343"/>
      <c r="AC2" s="343"/>
      <c r="AD2" s="343"/>
      <c r="AE2" s="343"/>
      <c r="AF2" s="343"/>
      <c r="AG2" s="343"/>
      <c r="AH2" s="343"/>
      <c r="AI2" s="343"/>
      <c r="AJ2" s="343"/>
      <c r="AK2" s="343"/>
      <c r="AL2" s="343"/>
      <c r="AM2" s="343"/>
      <c r="AN2" s="343"/>
      <c r="AO2" s="343"/>
      <c r="AP2" s="343"/>
      <c r="AQ2" s="343"/>
      <c r="AR2" s="343"/>
      <c r="AS2" s="343"/>
      <c r="AT2" s="344"/>
      <c r="AU2" s="308"/>
      <c r="AV2" s="309"/>
      <c r="AW2" s="309"/>
      <c r="AX2" s="309"/>
      <c r="AY2" s="309"/>
      <c r="AZ2" s="309"/>
      <c r="BA2" s="317"/>
      <c r="BB2" s="308"/>
      <c r="BC2" s="309"/>
      <c r="BD2" s="309"/>
      <c r="BE2" s="309"/>
      <c r="BF2" s="309"/>
      <c r="BG2" s="309"/>
      <c r="BH2" s="310"/>
    </row>
    <row r="3" spans="1:61" ht="15.6" customHeight="1">
      <c r="A3" s="335"/>
      <c r="B3" s="336"/>
      <c r="C3" s="336"/>
      <c r="D3" s="336"/>
      <c r="E3" s="336"/>
      <c r="F3" s="336"/>
      <c r="G3" s="338"/>
      <c r="H3" s="338"/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23"/>
      <c r="W3" s="324"/>
      <c r="X3" s="324"/>
      <c r="Y3" s="324"/>
      <c r="Z3" s="324"/>
      <c r="AA3" s="324"/>
      <c r="AB3" s="324"/>
      <c r="AC3" s="324"/>
      <c r="AD3" s="324"/>
      <c r="AE3" s="324"/>
      <c r="AF3" s="324"/>
      <c r="AG3" s="324"/>
      <c r="AH3" s="324"/>
      <c r="AI3" s="324"/>
      <c r="AJ3" s="324"/>
      <c r="AK3" s="324"/>
      <c r="AL3" s="324"/>
      <c r="AM3" s="324"/>
      <c r="AN3" s="324"/>
      <c r="AO3" s="324"/>
      <c r="AP3" s="324"/>
      <c r="AQ3" s="324"/>
      <c r="AR3" s="324"/>
      <c r="AS3" s="324"/>
      <c r="AT3" s="325"/>
      <c r="AU3" s="311"/>
      <c r="AV3" s="312"/>
      <c r="AW3" s="312"/>
      <c r="AX3" s="312"/>
      <c r="AY3" s="312"/>
      <c r="AZ3" s="312"/>
      <c r="BA3" s="318"/>
      <c r="BB3" s="311"/>
      <c r="BC3" s="312"/>
      <c r="BD3" s="312"/>
      <c r="BE3" s="312"/>
      <c r="BF3" s="312"/>
      <c r="BG3" s="312"/>
      <c r="BH3" s="313"/>
    </row>
    <row r="4" spans="1:61" ht="12.75" customHeight="1">
      <c r="A4" s="335"/>
      <c r="B4" s="336"/>
      <c r="C4" s="336"/>
      <c r="D4" s="336"/>
      <c r="E4" s="336"/>
      <c r="F4" s="336"/>
      <c r="G4" s="338"/>
      <c r="H4" s="338"/>
      <c r="I4" s="338"/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45" t="s">
        <v>122</v>
      </c>
      <c r="W4" s="345"/>
      <c r="X4" s="345"/>
      <c r="Y4" s="345"/>
      <c r="Z4" s="345"/>
      <c r="AA4" s="345"/>
      <c r="AB4" s="345"/>
      <c r="AC4" s="345"/>
      <c r="AD4" s="345"/>
      <c r="AE4" s="345"/>
      <c r="AF4" s="345"/>
      <c r="AG4" s="345"/>
      <c r="AH4" s="345"/>
      <c r="AI4" s="345"/>
      <c r="AJ4" s="345"/>
      <c r="AK4" s="345"/>
      <c r="AL4" s="345"/>
      <c r="AM4" s="345"/>
      <c r="AN4" s="345"/>
      <c r="AO4" s="345"/>
      <c r="AP4" s="345"/>
      <c r="AQ4" s="345"/>
      <c r="AR4" s="345"/>
      <c r="AS4" s="345"/>
      <c r="AT4" s="345"/>
      <c r="AU4" s="314" t="s">
        <v>123</v>
      </c>
      <c r="AV4" s="315"/>
      <c r="AW4" s="315"/>
      <c r="AX4" s="315"/>
      <c r="AY4" s="315"/>
      <c r="AZ4" s="315"/>
      <c r="BA4" s="316"/>
      <c r="BB4" s="314">
        <v>1</v>
      </c>
      <c r="BC4" s="315"/>
      <c r="BD4" s="315"/>
      <c r="BE4" s="315"/>
      <c r="BF4" s="315"/>
      <c r="BG4" s="315"/>
      <c r="BH4" s="319"/>
    </row>
    <row r="5" spans="1:61" ht="12.75" customHeight="1">
      <c r="A5" s="335"/>
      <c r="B5" s="336"/>
      <c r="C5" s="336"/>
      <c r="D5" s="336"/>
      <c r="E5" s="336"/>
      <c r="F5" s="336"/>
      <c r="G5" s="338"/>
      <c r="H5" s="338"/>
      <c r="I5" s="338"/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45"/>
      <c r="W5" s="345"/>
      <c r="X5" s="345"/>
      <c r="Y5" s="345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  <c r="AQ5" s="345"/>
      <c r="AR5" s="345"/>
      <c r="AS5" s="345"/>
      <c r="AT5" s="345"/>
      <c r="AU5" s="308"/>
      <c r="AV5" s="309"/>
      <c r="AW5" s="309"/>
      <c r="AX5" s="309"/>
      <c r="AY5" s="309"/>
      <c r="AZ5" s="309"/>
      <c r="BA5" s="317"/>
      <c r="BB5" s="308"/>
      <c r="BC5" s="309"/>
      <c r="BD5" s="309"/>
      <c r="BE5" s="309"/>
      <c r="BF5" s="309"/>
      <c r="BG5" s="309"/>
      <c r="BH5" s="310"/>
    </row>
    <row r="6" spans="1:61" ht="12.75" customHeight="1">
      <c r="A6" s="335"/>
      <c r="B6" s="336"/>
      <c r="C6" s="336"/>
      <c r="D6" s="336"/>
      <c r="E6" s="336"/>
      <c r="F6" s="336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20">
        <f>Bilgiler!$D$3</f>
        <v>0</v>
      </c>
      <c r="W6" s="321"/>
      <c r="X6" s="321"/>
      <c r="Y6" s="321"/>
      <c r="Z6" s="321"/>
      <c r="AA6" s="321"/>
      <c r="AB6" s="321"/>
      <c r="AC6" s="321"/>
      <c r="AD6" s="321"/>
      <c r="AE6" s="321"/>
      <c r="AF6" s="321"/>
      <c r="AG6" s="321"/>
      <c r="AH6" s="321"/>
      <c r="AI6" s="321"/>
      <c r="AJ6" s="321"/>
      <c r="AK6" s="321"/>
      <c r="AL6" s="321"/>
      <c r="AM6" s="321"/>
      <c r="AN6" s="321"/>
      <c r="AO6" s="321"/>
      <c r="AP6" s="321"/>
      <c r="AQ6" s="321"/>
      <c r="AR6" s="321"/>
      <c r="AS6" s="321"/>
      <c r="AT6" s="322"/>
      <c r="AU6" s="308"/>
      <c r="AV6" s="309"/>
      <c r="AW6" s="309"/>
      <c r="AX6" s="309"/>
      <c r="AY6" s="309"/>
      <c r="AZ6" s="309"/>
      <c r="BA6" s="317"/>
      <c r="BB6" s="308"/>
      <c r="BC6" s="309"/>
      <c r="BD6" s="309"/>
      <c r="BE6" s="309"/>
      <c r="BF6" s="309"/>
      <c r="BG6" s="309"/>
      <c r="BH6" s="310"/>
    </row>
    <row r="7" spans="1:61" ht="12.75" customHeight="1">
      <c r="A7" s="335"/>
      <c r="B7" s="336"/>
      <c r="C7" s="336"/>
      <c r="D7" s="336"/>
      <c r="E7" s="336"/>
      <c r="F7" s="336"/>
      <c r="G7" s="338"/>
      <c r="H7" s="338"/>
      <c r="I7" s="338"/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23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25"/>
      <c r="AU7" s="311"/>
      <c r="AV7" s="312"/>
      <c r="AW7" s="312"/>
      <c r="AX7" s="312"/>
      <c r="AY7" s="312"/>
      <c r="AZ7" s="312"/>
      <c r="BA7" s="318"/>
      <c r="BB7" s="311"/>
      <c r="BC7" s="312"/>
      <c r="BD7" s="312"/>
      <c r="BE7" s="312"/>
      <c r="BF7" s="312"/>
      <c r="BG7" s="312"/>
      <c r="BH7" s="313"/>
    </row>
    <row r="8" spans="1:61" s="34" customFormat="1" ht="12.75" customHeight="1">
      <c r="A8" s="287"/>
      <c r="B8" s="288"/>
      <c r="C8" s="288"/>
      <c r="D8" s="288"/>
      <c r="E8" s="289" t="str">
        <f>BFTC!B5</f>
        <v>KASKİ-01</v>
      </c>
      <c r="F8" s="290"/>
      <c r="G8" s="290"/>
      <c r="H8" s="291"/>
      <c r="I8" s="289" t="str">
        <f>BFTC!B6</f>
        <v>KASKİ-02</v>
      </c>
      <c r="J8" s="290"/>
      <c r="K8" s="290"/>
      <c r="L8" s="291"/>
      <c r="M8" s="289" t="str">
        <f>BFTC!B7</f>
        <v>KASKİ-03</v>
      </c>
      <c r="N8" s="290"/>
      <c r="O8" s="290"/>
      <c r="P8" s="291"/>
      <c r="Q8" s="289" t="str">
        <f>BFTC!B8</f>
        <v>KASKİ-04</v>
      </c>
      <c r="R8" s="290"/>
      <c r="S8" s="290"/>
      <c r="T8" s="291"/>
      <c r="U8" s="289" t="str">
        <f>BFTC!B9</f>
        <v>KASKİ-05</v>
      </c>
      <c r="V8" s="290"/>
      <c r="W8" s="290"/>
      <c r="X8" s="291"/>
      <c r="Y8" s="289" t="str">
        <f>BFTC!B10</f>
        <v>KASKİ-06</v>
      </c>
      <c r="Z8" s="290"/>
      <c r="AA8" s="290"/>
      <c r="AB8" s="291"/>
      <c r="AC8" s="289" t="str">
        <f>BFTC!B11</f>
        <v>KASKİ-07</v>
      </c>
      <c r="AD8" s="290"/>
      <c r="AE8" s="290"/>
      <c r="AF8" s="291"/>
      <c r="AG8" s="289"/>
      <c r="AH8" s="290"/>
      <c r="AI8" s="290"/>
      <c r="AJ8" s="291"/>
      <c r="AK8" s="289"/>
      <c r="AL8" s="290"/>
      <c r="AM8" s="290"/>
      <c r="AN8" s="291"/>
      <c r="AO8" s="289"/>
      <c r="AP8" s="290"/>
      <c r="AQ8" s="290"/>
      <c r="AR8" s="291"/>
      <c r="AS8" s="289"/>
      <c r="AT8" s="290"/>
      <c r="AU8" s="290"/>
      <c r="AV8" s="291"/>
      <c r="AW8" s="289"/>
      <c r="AX8" s="290"/>
      <c r="AY8" s="290"/>
      <c r="AZ8" s="291"/>
      <c r="BA8" s="289"/>
      <c r="BB8" s="290"/>
      <c r="BC8" s="290"/>
      <c r="BD8" s="291"/>
      <c r="BE8" s="289"/>
      <c r="BF8" s="290"/>
      <c r="BG8" s="290"/>
      <c r="BH8" s="328"/>
      <c r="BI8" s="254"/>
    </row>
    <row r="9" spans="1:61" s="34" customFormat="1" ht="12.75" customHeight="1">
      <c r="A9" s="287"/>
      <c r="B9" s="288"/>
      <c r="C9" s="288"/>
      <c r="D9" s="288"/>
      <c r="E9" s="292"/>
      <c r="F9" s="293"/>
      <c r="G9" s="293"/>
      <c r="H9" s="294"/>
      <c r="I9" s="292"/>
      <c r="J9" s="293"/>
      <c r="K9" s="293"/>
      <c r="L9" s="294"/>
      <c r="M9" s="292"/>
      <c r="N9" s="293"/>
      <c r="O9" s="293"/>
      <c r="P9" s="294"/>
      <c r="Q9" s="292"/>
      <c r="R9" s="293"/>
      <c r="S9" s="293"/>
      <c r="T9" s="294"/>
      <c r="U9" s="292"/>
      <c r="V9" s="293"/>
      <c r="W9" s="293"/>
      <c r="X9" s="294"/>
      <c r="Y9" s="292"/>
      <c r="Z9" s="293"/>
      <c r="AA9" s="293"/>
      <c r="AB9" s="294"/>
      <c r="AC9" s="292"/>
      <c r="AD9" s="293"/>
      <c r="AE9" s="293"/>
      <c r="AF9" s="294"/>
      <c r="AG9" s="292"/>
      <c r="AH9" s="293"/>
      <c r="AI9" s="293"/>
      <c r="AJ9" s="294"/>
      <c r="AK9" s="292"/>
      <c r="AL9" s="293"/>
      <c r="AM9" s="293"/>
      <c r="AN9" s="294"/>
      <c r="AO9" s="292"/>
      <c r="AP9" s="293"/>
      <c r="AQ9" s="293"/>
      <c r="AR9" s="294"/>
      <c r="AS9" s="292"/>
      <c r="AT9" s="293"/>
      <c r="AU9" s="293"/>
      <c r="AV9" s="294"/>
      <c r="AW9" s="292"/>
      <c r="AX9" s="293"/>
      <c r="AY9" s="293"/>
      <c r="AZ9" s="294"/>
      <c r="BA9" s="292"/>
      <c r="BB9" s="293"/>
      <c r="BC9" s="293"/>
      <c r="BD9" s="294"/>
      <c r="BE9" s="292"/>
      <c r="BF9" s="293"/>
      <c r="BG9" s="293"/>
      <c r="BH9" s="329"/>
      <c r="BI9" s="254"/>
    </row>
    <row r="10" spans="1:61" s="34" customFormat="1" ht="12.75" customHeight="1">
      <c r="A10" s="287"/>
      <c r="B10" s="288"/>
      <c r="C10" s="288"/>
      <c r="D10" s="288"/>
      <c r="E10" s="295"/>
      <c r="F10" s="296"/>
      <c r="G10" s="296"/>
      <c r="H10" s="297"/>
      <c r="I10" s="295"/>
      <c r="J10" s="296"/>
      <c r="K10" s="296"/>
      <c r="L10" s="297"/>
      <c r="M10" s="295"/>
      <c r="N10" s="296"/>
      <c r="O10" s="296"/>
      <c r="P10" s="297"/>
      <c r="Q10" s="295"/>
      <c r="R10" s="296"/>
      <c r="S10" s="296"/>
      <c r="T10" s="297"/>
      <c r="U10" s="295"/>
      <c r="V10" s="296"/>
      <c r="W10" s="296"/>
      <c r="X10" s="297"/>
      <c r="Y10" s="295"/>
      <c r="Z10" s="296"/>
      <c r="AA10" s="296"/>
      <c r="AB10" s="297"/>
      <c r="AC10" s="295"/>
      <c r="AD10" s="296"/>
      <c r="AE10" s="296"/>
      <c r="AF10" s="297"/>
      <c r="AG10" s="295"/>
      <c r="AH10" s="296"/>
      <c r="AI10" s="296"/>
      <c r="AJ10" s="297"/>
      <c r="AK10" s="295"/>
      <c r="AL10" s="296"/>
      <c r="AM10" s="296"/>
      <c r="AN10" s="297"/>
      <c r="AO10" s="295"/>
      <c r="AP10" s="296"/>
      <c r="AQ10" s="296"/>
      <c r="AR10" s="297"/>
      <c r="AS10" s="295"/>
      <c r="AT10" s="296"/>
      <c r="AU10" s="296"/>
      <c r="AV10" s="297"/>
      <c r="AW10" s="295"/>
      <c r="AX10" s="296"/>
      <c r="AY10" s="296"/>
      <c r="AZ10" s="297"/>
      <c r="BA10" s="295"/>
      <c r="BB10" s="296"/>
      <c r="BC10" s="296"/>
      <c r="BD10" s="297"/>
      <c r="BE10" s="295"/>
      <c r="BF10" s="296"/>
      <c r="BG10" s="296"/>
      <c r="BH10" s="330"/>
      <c r="BI10" s="254"/>
    </row>
    <row r="11" spans="1:61" ht="12.75" customHeight="1">
      <c r="A11" s="370"/>
      <c r="B11" s="371"/>
      <c r="C11" s="371"/>
      <c r="D11" s="372"/>
      <c r="E11" s="278" t="str">
        <f>BFTC!C5</f>
        <v>Sayaç Endekslerinin Okunması, Mobil Okuma Cihazı İle Tespiti ve Makbuz Dağıtılması İşlemi</v>
      </c>
      <c r="F11" s="279"/>
      <c r="G11" s="279"/>
      <c r="H11" s="280"/>
      <c r="I11" s="278" t="str">
        <f>BFTC!C6</f>
        <v>Sayaç Endekslerinin Yerinde Yapılan Kontrollerde Tespit Edilememesi (kıyas okuma veya evde yok okuma) İşlemi</v>
      </c>
      <c r="J11" s="279"/>
      <c r="K11" s="279"/>
      <c r="L11" s="280"/>
      <c r="M11" s="278" t="str">
        <f>BFTC!C7</f>
        <v>Mühürsüz Sayaçların Mühürlemesi</v>
      </c>
      <c r="N11" s="279"/>
      <c r="O11" s="279"/>
      <c r="P11" s="280"/>
      <c r="Q11" s="255" t="str">
        <f>BFTC!C8</f>
        <v>Sayaç Sökme ve Sayaç Takma</v>
      </c>
      <c r="R11" s="255"/>
      <c r="S11" s="255"/>
      <c r="T11" s="255"/>
      <c r="U11" s="255" t="str">
        <f>BFTC!C9</f>
        <v>Su Kapama veya Su Açma</v>
      </c>
      <c r="V11" s="255"/>
      <c r="W11" s="255"/>
      <c r="X11" s="255"/>
      <c r="Y11" s="255" t="str">
        <f>BFTC!C10</f>
        <v>Sayaç Alımı (Teknik Şartnamede Özellikleri Belirtilen) DN20 190 MM</v>
      </c>
      <c r="Z11" s="255"/>
      <c r="AA11" s="255"/>
      <c r="AB11" s="255"/>
      <c r="AC11" s="255" t="str">
        <f>BFTC!C11</f>
        <v>İçme Suyu Hatlarında Sayaçlı Abonesiz, Sayaçsız ve Kaçak Kullanımın Tespit Edilmesi ve Raporlanması</v>
      </c>
      <c r="AD11" s="255"/>
      <c r="AE11" s="255"/>
      <c r="AF11" s="255"/>
      <c r="AG11" s="255"/>
      <c r="AH11" s="255"/>
      <c r="AI11" s="255"/>
      <c r="AJ11" s="255"/>
      <c r="AK11" s="255"/>
      <c r="AL11" s="255"/>
      <c r="AM11" s="255"/>
      <c r="AN11" s="255"/>
      <c r="AO11" s="255"/>
      <c r="AP11" s="255"/>
      <c r="AQ11" s="255"/>
      <c r="AR11" s="255"/>
      <c r="AS11" s="255"/>
      <c r="AT11" s="255"/>
      <c r="AU11" s="255"/>
      <c r="AV11" s="255"/>
      <c r="AW11" s="255"/>
      <c r="AX11" s="255"/>
      <c r="AY11" s="255"/>
      <c r="AZ11" s="255"/>
      <c r="BA11" s="255"/>
      <c r="BB11" s="255"/>
      <c r="BC11" s="255"/>
      <c r="BD11" s="255"/>
      <c r="BE11" s="255"/>
      <c r="BF11" s="255"/>
      <c r="BG11" s="255"/>
      <c r="BH11" s="256"/>
    </row>
    <row r="12" spans="1:61" ht="12.75" customHeight="1">
      <c r="A12" s="373"/>
      <c r="B12" s="374"/>
      <c r="C12" s="374"/>
      <c r="D12" s="375"/>
      <c r="E12" s="281"/>
      <c r="F12" s="282"/>
      <c r="G12" s="282"/>
      <c r="H12" s="283"/>
      <c r="I12" s="281"/>
      <c r="J12" s="282"/>
      <c r="K12" s="282"/>
      <c r="L12" s="283"/>
      <c r="M12" s="281"/>
      <c r="N12" s="282"/>
      <c r="O12" s="282"/>
      <c r="P12" s="283"/>
      <c r="Q12" s="255"/>
      <c r="R12" s="255"/>
      <c r="S12" s="255"/>
      <c r="T12" s="255"/>
      <c r="U12" s="255"/>
      <c r="V12" s="255"/>
      <c r="W12" s="255"/>
      <c r="X12" s="255"/>
      <c r="Y12" s="255"/>
      <c r="Z12" s="255"/>
      <c r="AA12" s="255"/>
      <c r="AB12" s="255"/>
      <c r="AC12" s="255"/>
      <c r="AD12" s="255"/>
      <c r="AE12" s="255"/>
      <c r="AF12" s="255"/>
      <c r="AG12" s="255"/>
      <c r="AH12" s="255"/>
      <c r="AI12" s="255"/>
      <c r="AJ12" s="255"/>
      <c r="AK12" s="255"/>
      <c r="AL12" s="255"/>
      <c r="AM12" s="255"/>
      <c r="AN12" s="255"/>
      <c r="AO12" s="255"/>
      <c r="AP12" s="255"/>
      <c r="AQ12" s="255"/>
      <c r="AR12" s="255"/>
      <c r="AS12" s="255"/>
      <c r="AT12" s="255"/>
      <c r="AU12" s="255"/>
      <c r="AV12" s="255"/>
      <c r="AW12" s="255"/>
      <c r="AX12" s="255"/>
      <c r="AY12" s="255"/>
      <c r="AZ12" s="255"/>
      <c r="BA12" s="255"/>
      <c r="BB12" s="255"/>
      <c r="BC12" s="255"/>
      <c r="BD12" s="255"/>
      <c r="BE12" s="255"/>
      <c r="BF12" s="255"/>
      <c r="BG12" s="255"/>
      <c r="BH12" s="256"/>
    </row>
    <row r="13" spans="1:61" ht="12.75" customHeight="1">
      <c r="A13" s="373"/>
      <c r="B13" s="374"/>
      <c r="C13" s="374"/>
      <c r="D13" s="375"/>
      <c r="E13" s="281"/>
      <c r="F13" s="282"/>
      <c r="G13" s="282"/>
      <c r="H13" s="283"/>
      <c r="I13" s="281"/>
      <c r="J13" s="282"/>
      <c r="K13" s="282"/>
      <c r="L13" s="283"/>
      <c r="M13" s="281"/>
      <c r="N13" s="282"/>
      <c r="O13" s="282"/>
      <c r="P13" s="283"/>
      <c r="Q13" s="255"/>
      <c r="R13" s="255"/>
      <c r="S13" s="255"/>
      <c r="T13" s="255"/>
      <c r="U13" s="255"/>
      <c r="V13" s="255"/>
      <c r="W13" s="255"/>
      <c r="X13" s="255"/>
      <c r="Y13" s="255"/>
      <c r="Z13" s="255"/>
      <c r="AA13" s="255"/>
      <c r="AB13" s="255"/>
      <c r="AC13" s="255"/>
      <c r="AD13" s="255"/>
      <c r="AE13" s="255"/>
      <c r="AF13" s="255"/>
      <c r="AG13" s="255"/>
      <c r="AH13" s="255"/>
      <c r="AI13" s="255"/>
      <c r="AJ13" s="255"/>
      <c r="AK13" s="255"/>
      <c r="AL13" s="255"/>
      <c r="AM13" s="255"/>
      <c r="AN13" s="255"/>
      <c r="AO13" s="255"/>
      <c r="AP13" s="255"/>
      <c r="AQ13" s="255"/>
      <c r="AR13" s="255"/>
      <c r="AS13" s="255"/>
      <c r="AT13" s="255"/>
      <c r="AU13" s="255"/>
      <c r="AV13" s="255"/>
      <c r="AW13" s="255"/>
      <c r="AX13" s="255"/>
      <c r="AY13" s="255"/>
      <c r="AZ13" s="255"/>
      <c r="BA13" s="255"/>
      <c r="BB13" s="255"/>
      <c r="BC13" s="255"/>
      <c r="BD13" s="255"/>
      <c r="BE13" s="255"/>
      <c r="BF13" s="255"/>
      <c r="BG13" s="255"/>
      <c r="BH13" s="256"/>
    </row>
    <row r="14" spans="1:61" ht="12.75" customHeight="1">
      <c r="A14" s="373"/>
      <c r="B14" s="374"/>
      <c r="C14" s="374"/>
      <c r="D14" s="375"/>
      <c r="E14" s="281"/>
      <c r="F14" s="282"/>
      <c r="G14" s="282"/>
      <c r="H14" s="283"/>
      <c r="I14" s="281"/>
      <c r="J14" s="282"/>
      <c r="K14" s="282"/>
      <c r="L14" s="283"/>
      <c r="M14" s="281"/>
      <c r="N14" s="282"/>
      <c r="O14" s="282"/>
      <c r="P14" s="283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5"/>
      <c r="AB14" s="255"/>
      <c r="AC14" s="255"/>
      <c r="AD14" s="255"/>
      <c r="AE14" s="255"/>
      <c r="AF14" s="255"/>
      <c r="AG14" s="255"/>
      <c r="AH14" s="255"/>
      <c r="AI14" s="255"/>
      <c r="AJ14" s="255"/>
      <c r="AK14" s="255"/>
      <c r="AL14" s="255"/>
      <c r="AM14" s="255"/>
      <c r="AN14" s="255"/>
      <c r="AO14" s="255"/>
      <c r="AP14" s="255"/>
      <c r="AQ14" s="255"/>
      <c r="AR14" s="255"/>
      <c r="AS14" s="255"/>
      <c r="AT14" s="255"/>
      <c r="AU14" s="255"/>
      <c r="AV14" s="255"/>
      <c r="AW14" s="255"/>
      <c r="AX14" s="255"/>
      <c r="AY14" s="255"/>
      <c r="AZ14" s="255"/>
      <c r="BA14" s="255"/>
      <c r="BB14" s="255"/>
      <c r="BC14" s="255"/>
      <c r="BD14" s="255"/>
      <c r="BE14" s="255"/>
      <c r="BF14" s="255"/>
      <c r="BG14" s="255"/>
      <c r="BH14" s="256"/>
    </row>
    <row r="15" spans="1:61" ht="12.75" customHeight="1">
      <c r="A15" s="373"/>
      <c r="B15" s="374"/>
      <c r="C15" s="374"/>
      <c r="D15" s="375"/>
      <c r="E15" s="281"/>
      <c r="F15" s="282"/>
      <c r="G15" s="282"/>
      <c r="H15" s="283"/>
      <c r="I15" s="281"/>
      <c r="J15" s="282"/>
      <c r="K15" s="282"/>
      <c r="L15" s="283"/>
      <c r="M15" s="281"/>
      <c r="N15" s="282"/>
      <c r="O15" s="282"/>
      <c r="P15" s="283"/>
      <c r="Q15" s="255"/>
      <c r="R15" s="255"/>
      <c r="S15" s="255"/>
      <c r="T15" s="255"/>
      <c r="U15" s="255"/>
      <c r="V15" s="255"/>
      <c r="W15" s="255"/>
      <c r="X15" s="255"/>
      <c r="Y15" s="255"/>
      <c r="Z15" s="255"/>
      <c r="AA15" s="255"/>
      <c r="AB15" s="255"/>
      <c r="AC15" s="255"/>
      <c r="AD15" s="255"/>
      <c r="AE15" s="255"/>
      <c r="AF15" s="255"/>
      <c r="AG15" s="255"/>
      <c r="AH15" s="255"/>
      <c r="AI15" s="255"/>
      <c r="AJ15" s="255"/>
      <c r="AK15" s="255"/>
      <c r="AL15" s="255"/>
      <c r="AM15" s="255"/>
      <c r="AN15" s="255"/>
      <c r="AO15" s="255"/>
      <c r="AP15" s="255"/>
      <c r="AQ15" s="255"/>
      <c r="AR15" s="255"/>
      <c r="AS15" s="255"/>
      <c r="AT15" s="255"/>
      <c r="AU15" s="255"/>
      <c r="AV15" s="255"/>
      <c r="AW15" s="255"/>
      <c r="AX15" s="255"/>
      <c r="AY15" s="255"/>
      <c r="AZ15" s="255"/>
      <c r="BA15" s="255"/>
      <c r="BB15" s="255"/>
      <c r="BC15" s="255"/>
      <c r="BD15" s="255"/>
      <c r="BE15" s="255"/>
      <c r="BF15" s="255"/>
      <c r="BG15" s="255"/>
      <c r="BH15" s="256"/>
    </row>
    <row r="16" spans="1:61" ht="12.75" customHeight="1">
      <c r="A16" s="373"/>
      <c r="B16" s="374"/>
      <c r="C16" s="374"/>
      <c r="D16" s="375"/>
      <c r="E16" s="281"/>
      <c r="F16" s="282"/>
      <c r="G16" s="282"/>
      <c r="H16" s="283"/>
      <c r="I16" s="281"/>
      <c r="J16" s="282"/>
      <c r="K16" s="282"/>
      <c r="L16" s="283"/>
      <c r="M16" s="281"/>
      <c r="N16" s="282"/>
      <c r="O16" s="282"/>
      <c r="P16" s="283"/>
      <c r="Q16" s="255"/>
      <c r="R16" s="255"/>
      <c r="S16" s="255"/>
      <c r="T16" s="255"/>
      <c r="U16" s="255"/>
      <c r="V16" s="255"/>
      <c r="W16" s="255"/>
      <c r="X16" s="255"/>
      <c r="Y16" s="255"/>
      <c r="Z16" s="255"/>
      <c r="AA16" s="255"/>
      <c r="AB16" s="255"/>
      <c r="AC16" s="255"/>
      <c r="AD16" s="255"/>
      <c r="AE16" s="255"/>
      <c r="AF16" s="255"/>
      <c r="AG16" s="255"/>
      <c r="AH16" s="255"/>
      <c r="AI16" s="255"/>
      <c r="AJ16" s="255"/>
      <c r="AK16" s="255"/>
      <c r="AL16" s="255"/>
      <c r="AM16" s="255"/>
      <c r="AN16" s="255"/>
      <c r="AO16" s="255"/>
      <c r="AP16" s="255"/>
      <c r="AQ16" s="255"/>
      <c r="AR16" s="255"/>
      <c r="AS16" s="255"/>
      <c r="AT16" s="255"/>
      <c r="AU16" s="255"/>
      <c r="AV16" s="255"/>
      <c r="AW16" s="255"/>
      <c r="AX16" s="255"/>
      <c r="AY16" s="255"/>
      <c r="AZ16" s="255"/>
      <c r="BA16" s="255"/>
      <c r="BB16" s="255"/>
      <c r="BC16" s="255"/>
      <c r="BD16" s="255"/>
      <c r="BE16" s="255"/>
      <c r="BF16" s="255"/>
      <c r="BG16" s="255"/>
      <c r="BH16" s="256"/>
    </row>
    <row r="17" spans="1:60" ht="12.75" customHeight="1">
      <c r="A17" s="373"/>
      <c r="B17" s="374"/>
      <c r="C17" s="374"/>
      <c r="D17" s="375"/>
      <c r="E17" s="281"/>
      <c r="F17" s="282"/>
      <c r="G17" s="282"/>
      <c r="H17" s="283"/>
      <c r="I17" s="281"/>
      <c r="J17" s="282"/>
      <c r="K17" s="282"/>
      <c r="L17" s="283"/>
      <c r="M17" s="281"/>
      <c r="N17" s="282"/>
      <c r="O17" s="282"/>
      <c r="P17" s="283"/>
      <c r="Q17" s="255"/>
      <c r="R17" s="255"/>
      <c r="S17" s="255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55"/>
      <c r="AF17" s="255"/>
      <c r="AG17" s="255"/>
      <c r="AH17" s="255"/>
      <c r="AI17" s="255"/>
      <c r="AJ17" s="255"/>
      <c r="AK17" s="255"/>
      <c r="AL17" s="255"/>
      <c r="AM17" s="255"/>
      <c r="AN17" s="255"/>
      <c r="AO17" s="255"/>
      <c r="AP17" s="255"/>
      <c r="AQ17" s="255"/>
      <c r="AR17" s="255"/>
      <c r="AS17" s="255"/>
      <c r="AT17" s="255"/>
      <c r="AU17" s="255"/>
      <c r="AV17" s="255"/>
      <c r="AW17" s="255"/>
      <c r="AX17" s="255"/>
      <c r="AY17" s="255"/>
      <c r="AZ17" s="255"/>
      <c r="BA17" s="255"/>
      <c r="BB17" s="255"/>
      <c r="BC17" s="255"/>
      <c r="BD17" s="255"/>
      <c r="BE17" s="255"/>
      <c r="BF17" s="255"/>
      <c r="BG17" s="255"/>
      <c r="BH17" s="256"/>
    </row>
    <row r="18" spans="1:60" ht="12.75" customHeight="1">
      <c r="A18" s="373"/>
      <c r="B18" s="374"/>
      <c r="C18" s="374"/>
      <c r="D18" s="375"/>
      <c r="E18" s="281"/>
      <c r="F18" s="282"/>
      <c r="G18" s="282"/>
      <c r="H18" s="283"/>
      <c r="I18" s="281"/>
      <c r="J18" s="282"/>
      <c r="K18" s="282"/>
      <c r="L18" s="283"/>
      <c r="M18" s="281"/>
      <c r="N18" s="282"/>
      <c r="O18" s="282"/>
      <c r="P18" s="283"/>
      <c r="Q18" s="255"/>
      <c r="R18" s="255"/>
      <c r="S18" s="255"/>
      <c r="T18" s="255"/>
      <c r="U18" s="255"/>
      <c r="V18" s="255"/>
      <c r="W18" s="255"/>
      <c r="X18" s="255"/>
      <c r="Y18" s="255"/>
      <c r="Z18" s="255"/>
      <c r="AA18" s="255"/>
      <c r="AB18" s="255"/>
      <c r="AC18" s="255"/>
      <c r="AD18" s="255"/>
      <c r="AE18" s="255"/>
      <c r="AF18" s="255"/>
      <c r="AG18" s="255"/>
      <c r="AH18" s="255"/>
      <c r="AI18" s="255"/>
      <c r="AJ18" s="255"/>
      <c r="AK18" s="255"/>
      <c r="AL18" s="255"/>
      <c r="AM18" s="255"/>
      <c r="AN18" s="255"/>
      <c r="AO18" s="255"/>
      <c r="AP18" s="255"/>
      <c r="AQ18" s="255"/>
      <c r="AR18" s="255"/>
      <c r="AS18" s="255"/>
      <c r="AT18" s="255"/>
      <c r="AU18" s="255"/>
      <c r="AV18" s="255"/>
      <c r="AW18" s="255"/>
      <c r="AX18" s="255"/>
      <c r="AY18" s="255"/>
      <c r="AZ18" s="255"/>
      <c r="BA18" s="255"/>
      <c r="BB18" s="255"/>
      <c r="BC18" s="255"/>
      <c r="BD18" s="255"/>
      <c r="BE18" s="255"/>
      <c r="BF18" s="255"/>
      <c r="BG18" s="255"/>
      <c r="BH18" s="256"/>
    </row>
    <row r="19" spans="1:60" ht="12.75" customHeight="1">
      <c r="A19" s="373"/>
      <c r="B19" s="374"/>
      <c r="C19" s="374"/>
      <c r="D19" s="375"/>
      <c r="E19" s="281"/>
      <c r="F19" s="282"/>
      <c r="G19" s="282"/>
      <c r="H19" s="283"/>
      <c r="I19" s="281"/>
      <c r="J19" s="282"/>
      <c r="K19" s="282"/>
      <c r="L19" s="283"/>
      <c r="M19" s="281"/>
      <c r="N19" s="282"/>
      <c r="O19" s="282"/>
      <c r="P19" s="283"/>
      <c r="Q19" s="255"/>
      <c r="R19" s="255"/>
      <c r="S19" s="255"/>
      <c r="T19" s="255"/>
      <c r="U19" s="255"/>
      <c r="V19" s="255"/>
      <c r="W19" s="255"/>
      <c r="X19" s="255"/>
      <c r="Y19" s="255"/>
      <c r="Z19" s="255"/>
      <c r="AA19" s="255"/>
      <c r="AB19" s="255"/>
      <c r="AC19" s="255"/>
      <c r="AD19" s="255"/>
      <c r="AE19" s="255"/>
      <c r="AF19" s="255"/>
      <c r="AG19" s="255"/>
      <c r="AH19" s="255"/>
      <c r="AI19" s="255"/>
      <c r="AJ19" s="255"/>
      <c r="AK19" s="255"/>
      <c r="AL19" s="255"/>
      <c r="AM19" s="255"/>
      <c r="AN19" s="255"/>
      <c r="AO19" s="255"/>
      <c r="AP19" s="255"/>
      <c r="AQ19" s="255"/>
      <c r="AR19" s="255"/>
      <c r="AS19" s="255"/>
      <c r="AT19" s="255"/>
      <c r="AU19" s="255"/>
      <c r="AV19" s="255"/>
      <c r="AW19" s="255"/>
      <c r="AX19" s="255"/>
      <c r="AY19" s="255"/>
      <c r="AZ19" s="255"/>
      <c r="BA19" s="255"/>
      <c r="BB19" s="255"/>
      <c r="BC19" s="255"/>
      <c r="BD19" s="255"/>
      <c r="BE19" s="255"/>
      <c r="BF19" s="255"/>
      <c r="BG19" s="255"/>
      <c r="BH19" s="256"/>
    </row>
    <row r="20" spans="1:60" ht="12.75" customHeight="1">
      <c r="A20" s="373"/>
      <c r="B20" s="374"/>
      <c r="C20" s="374"/>
      <c r="D20" s="375"/>
      <c r="E20" s="281"/>
      <c r="F20" s="282"/>
      <c r="G20" s="282"/>
      <c r="H20" s="283"/>
      <c r="I20" s="281"/>
      <c r="J20" s="282"/>
      <c r="K20" s="282"/>
      <c r="L20" s="283"/>
      <c r="M20" s="281"/>
      <c r="N20" s="282"/>
      <c r="O20" s="282"/>
      <c r="P20" s="283"/>
      <c r="Q20" s="255"/>
      <c r="R20" s="255"/>
      <c r="S20" s="255"/>
      <c r="T20" s="255"/>
      <c r="U20" s="255"/>
      <c r="V20" s="255"/>
      <c r="W20" s="255"/>
      <c r="X20" s="255"/>
      <c r="Y20" s="255"/>
      <c r="Z20" s="255"/>
      <c r="AA20" s="255"/>
      <c r="AB20" s="255"/>
      <c r="AC20" s="255"/>
      <c r="AD20" s="255"/>
      <c r="AE20" s="255"/>
      <c r="AF20" s="255"/>
      <c r="AG20" s="255"/>
      <c r="AH20" s="255"/>
      <c r="AI20" s="255"/>
      <c r="AJ20" s="255"/>
      <c r="AK20" s="255"/>
      <c r="AL20" s="255"/>
      <c r="AM20" s="255"/>
      <c r="AN20" s="255"/>
      <c r="AO20" s="255"/>
      <c r="AP20" s="255"/>
      <c r="AQ20" s="255"/>
      <c r="AR20" s="255"/>
      <c r="AS20" s="255"/>
      <c r="AT20" s="255"/>
      <c r="AU20" s="255"/>
      <c r="AV20" s="255"/>
      <c r="AW20" s="255"/>
      <c r="AX20" s="255"/>
      <c r="AY20" s="255"/>
      <c r="AZ20" s="255"/>
      <c r="BA20" s="255"/>
      <c r="BB20" s="255"/>
      <c r="BC20" s="255"/>
      <c r="BD20" s="255"/>
      <c r="BE20" s="255"/>
      <c r="BF20" s="255"/>
      <c r="BG20" s="255"/>
      <c r="BH20" s="256"/>
    </row>
    <row r="21" spans="1:60" ht="12.75" customHeight="1">
      <c r="A21" s="376"/>
      <c r="B21" s="377"/>
      <c r="C21" s="377"/>
      <c r="D21" s="378"/>
      <c r="E21" s="284"/>
      <c r="F21" s="285"/>
      <c r="G21" s="285"/>
      <c r="H21" s="286"/>
      <c r="I21" s="284"/>
      <c r="J21" s="285"/>
      <c r="K21" s="285"/>
      <c r="L21" s="286"/>
      <c r="M21" s="284"/>
      <c r="N21" s="285"/>
      <c r="O21" s="285"/>
      <c r="P21" s="286"/>
      <c r="Q21" s="255"/>
      <c r="R21" s="255"/>
      <c r="S21" s="255"/>
      <c r="T21" s="255"/>
      <c r="U21" s="255"/>
      <c r="V21" s="255"/>
      <c r="W21" s="255"/>
      <c r="X21" s="255"/>
      <c r="Y21" s="255"/>
      <c r="Z21" s="255"/>
      <c r="AA21" s="255"/>
      <c r="AB21" s="255"/>
      <c r="AC21" s="255"/>
      <c r="AD21" s="255"/>
      <c r="AE21" s="255"/>
      <c r="AF21" s="255"/>
      <c r="AG21" s="255"/>
      <c r="AH21" s="255"/>
      <c r="AI21" s="255"/>
      <c r="AJ21" s="255"/>
      <c r="AK21" s="255"/>
      <c r="AL21" s="255"/>
      <c r="AM21" s="255"/>
      <c r="AN21" s="255"/>
      <c r="AO21" s="255"/>
      <c r="AP21" s="255"/>
      <c r="AQ21" s="255"/>
      <c r="AR21" s="255"/>
      <c r="AS21" s="255"/>
      <c r="AT21" s="255"/>
      <c r="AU21" s="255"/>
      <c r="AV21" s="255"/>
      <c r="AW21" s="255"/>
      <c r="AX21" s="255"/>
      <c r="AY21" s="255"/>
      <c r="AZ21" s="255"/>
      <c r="BA21" s="255"/>
      <c r="BB21" s="255"/>
      <c r="BC21" s="255"/>
      <c r="BD21" s="255"/>
      <c r="BE21" s="255"/>
      <c r="BF21" s="255"/>
      <c r="BG21" s="255"/>
      <c r="BH21" s="256"/>
    </row>
    <row r="22" spans="1:60" ht="12.75" customHeight="1">
      <c r="A22" s="346" t="s">
        <v>124</v>
      </c>
      <c r="B22" s="347"/>
      <c r="C22" s="347"/>
      <c r="D22" s="347"/>
      <c r="E22" s="272" t="str">
        <f>IF(+E8=0,0,VLOOKUP(E8,BFTC!$B$5:$D$35,3,0))</f>
        <v>Adet</v>
      </c>
      <c r="F22" s="273"/>
      <c r="G22" s="273"/>
      <c r="H22" s="274"/>
      <c r="I22" s="272" t="str">
        <f>IF(+I8=0,0,VLOOKUP(I8,BFTC!$B$5:$D$35,3,0))</f>
        <v>Adet</v>
      </c>
      <c r="J22" s="273"/>
      <c r="K22" s="273"/>
      <c r="L22" s="274"/>
      <c r="M22" s="272" t="str">
        <f>IF(+M8=0,0,VLOOKUP(M8,BFTC!$B$5:$D$35,3,0))</f>
        <v>Adet</v>
      </c>
      <c r="N22" s="273"/>
      <c r="O22" s="273"/>
      <c r="P22" s="274"/>
      <c r="Q22" s="272" t="str">
        <f>IF(+Q8=0,0,VLOOKUP(Q8,BFTC!$B$5:$D$35,3,0))</f>
        <v>Adet</v>
      </c>
      <c r="R22" s="273"/>
      <c r="S22" s="273"/>
      <c r="T22" s="274"/>
      <c r="U22" s="272" t="str">
        <f>IF(+U8=0,0,VLOOKUP(U8,BFTC!$B$5:$D$35,3,0))</f>
        <v>Adet</v>
      </c>
      <c r="V22" s="273"/>
      <c r="W22" s="273"/>
      <c r="X22" s="274"/>
      <c r="Y22" s="272" t="str">
        <f>BFTC!D10</f>
        <v>Adet</v>
      </c>
      <c r="Z22" s="273"/>
      <c r="AA22" s="273"/>
      <c r="AB22" s="274"/>
      <c r="AC22" s="272" t="s">
        <v>103</v>
      </c>
      <c r="AD22" s="273"/>
      <c r="AE22" s="273"/>
      <c r="AF22" s="274"/>
      <c r="AG22" s="272"/>
      <c r="AH22" s="273"/>
      <c r="AI22" s="273"/>
      <c r="AJ22" s="274"/>
      <c r="AK22" s="272"/>
      <c r="AL22" s="273"/>
      <c r="AM22" s="273"/>
      <c r="AN22" s="274"/>
      <c r="AO22" s="272"/>
      <c r="AP22" s="273"/>
      <c r="AQ22" s="273"/>
      <c r="AR22" s="274"/>
      <c r="AS22" s="272"/>
      <c r="AT22" s="273"/>
      <c r="AU22" s="273"/>
      <c r="AV22" s="274"/>
      <c r="AW22" s="272"/>
      <c r="AX22" s="273"/>
      <c r="AY22" s="273"/>
      <c r="AZ22" s="274"/>
      <c r="BA22" s="272"/>
      <c r="BB22" s="273"/>
      <c r="BC22" s="273"/>
      <c r="BD22" s="274"/>
      <c r="BE22" s="272"/>
      <c r="BF22" s="273"/>
      <c r="BG22" s="273"/>
      <c r="BH22" s="331"/>
    </row>
    <row r="23" spans="1:60" ht="12.75" customHeight="1" thickBot="1">
      <c r="A23" s="348"/>
      <c r="B23" s="349"/>
      <c r="C23" s="349"/>
      <c r="D23" s="349"/>
      <c r="E23" s="275"/>
      <c r="F23" s="276"/>
      <c r="G23" s="276"/>
      <c r="H23" s="277"/>
      <c r="I23" s="275"/>
      <c r="J23" s="276"/>
      <c r="K23" s="276"/>
      <c r="L23" s="277"/>
      <c r="M23" s="275"/>
      <c r="N23" s="276"/>
      <c r="O23" s="276"/>
      <c r="P23" s="277"/>
      <c r="Q23" s="275"/>
      <c r="R23" s="276"/>
      <c r="S23" s="276"/>
      <c r="T23" s="277"/>
      <c r="U23" s="275"/>
      <c r="V23" s="276"/>
      <c r="W23" s="276"/>
      <c r="X23" s="277"/>
      <c r="Y23" s="275"/>
      <c r="Z23" s="276"/>
      <c r="AA23" s="276"/>
      <c r="AB23" s="277"/>
      <c r="AC23" s="275"/>
      <c r="AD23" s="276"/>
      <c r="AE23" s="276"/>
      <c r="AF23" s="277"/>
      <c r="AG23" s="275"/>
      <c r="AH23" s="276"/>
      <c r="AI23" s="276"/>
      <c r="AJ23" s="277"/>
      <c r="AK23" s="275"/>
      <c r="AL23" s="276"/>
      <c r="AM23" s="276"/>
      <c r="AN23" s="277"/>
      <c r="AO23" s="275"/>
      <c r="AP23" s="276"/>
      <c r="AQ23" s="276"/>
      <c r="AR23" s="277"/>
      <c r="AS23" s="275"/>
      <c r="AT23" s="276"/>
      <c r="AU23" s="276"/>
      <c r="AV23" s="277"/>
      <c r="AW23" s="275"/>
      <c r="AX23" s="276"/>
      <c r="AY23" s="276"/>
      <c r="AZ23" s="277"/>
      <c r="BA23" s="275"/>
      <c r="BB23" s="276"/>
      <c r="BC23" s="276"/>
      <c r="BD23" s="277"/>
      <c r="BE23" s="275"/>
      <c r="BF23" s="276"/>
      <c r="BG23" s="276"/>
      <c r="BH23" s="332"/>
    </row>
    <row r="24" spans="1:60" ht="12.75" customHeight="1">
      <c r="A24" s="298" t="s">
        <v>125</v>
      </c>
      <c r="B24" s="299"/>
      <c r="C24" s="299"/>
      <c r="D24" s="299"/>
      <c r="E24" s="269"/>
      <c r="F24" s="270"/>
      <c r="G24" s="270"/>
      <c r="H24" s="271"/>
      <c r="I24" s="269"/>
      <c r="J24" s="270"/>
      <c r="K24" s="270"/>
      <c r="L24" s="271"/>
      <c r="M24" s="269"/>
      <c r="N24" s="270"/>
      <c r="O24" s="270"/>
      <c r="P24" s="271"/>
      <c r="Q24" s="269"/>
      <c r="R24" s="270"/>
      <c r="S24" s="270"/>
      <c r="T24" s="271"/>
      <c r="U24" s="269"/>
      <c r="V24" s="270"/>
      <c r="W24" s="270"/>
      <c r="X24" s="271"/>
      <c r="Y24" s="269"/>
      <c r="Z24" s="270"/>
      <c r="AA24" s="270"/>
      <c r="AB24" s="271"/>
      <c r="AC24" s="269"/>
      <c r="AD24" s="270"/>
      <c r="AE24" s="270"/>
      <c r="AF24" s="271"/>
      <c r="AG24" s="257"/>
      <c r="AH24" s="258"/>
      <c r="AI24" s="258"/>
      <c r="AJ24" s="263"/>
      <c r="AK24" s="257"/>
      <c r="AL24" s="258"/>
      <c r="AM24" s="258"/>
      <c r="AN24" s="263"/>
      <c r="AO24" s="257"/>
      <c r="AP24" s="258"/>
      <c r="AQ24" s="258"/>
      <c r="AR24" s="263"/>
      <c r="AS24" s="257"/>
      <c r="AT24" s="258"/>
      <c r="AU24" s="258"/>
      <c r="AV24" s="263"/>
      <c r="AW24" s="257"/>
      <c r="AX24" s="258"/>
      <c r="AY24" s="258"/>
      <c r="AZ24" s="263"/>
      <c r="BA24" s="257"/>
      <c r="BB24" s="258"/>
      <c r="BC24" s="258"/>
      <c r="BD24" s="263"/>
      <c r="BE24" s="257"/>
      <c r="BF24" s="258"/>
      <c r="BG24" s="258"/>
      <c r="BH24" s="259"/>
    </row>
    <row r="25" spans="1:60" ht="13.9" customHeight="1" thickBot="1">
      <c r="A25" s="300"/>
      <c r="B25" s="301"/>
      <c r="C25" s="301"/>
      <c r="D25" s="301"/>
      <c r="E25" s="302"/>
      <c r="F25" s="303"/>
      <c r="G25" s="303"/>
      <c r="H25" s="304"/>
      <c r="I25" s="302"/>
      <c r="J25" s="303"/>
      <c r="K25" s="303"/>
      <c r="L25" s="304"/>
      <c r="M25" s="302"/>
      <c r="N25" s="303"/>
      <c r="O25" s="303"/>
      <c r="P25" s="304"/>
      <c r="Q25" s="302"/>
      <c r="R25" s="303"/>
      <c r="S25" s="303"/>
      <c r="T25" s="304"/>
      <c r="U25" s="302"/>
      <c r="V25" s="303"/>
      <c r="W25" s="303"/>
      <c r="X25" s="304"/>
      <c r="Y25" s="302"/>
      <c r="Z25" s="303"/>
      <c r="AA25" s="303"/>
      <c r="AB25" s="304"/>
      <c r="AC25" s="302"/>
      <c r="AD25" s="303"/>
      <c r="AE25" s="303"/>
      <c r="AF25" s="304"/>
      <c r="AG25" s="260"/>
      <c r="AH25" s="261"/>
      <c r="AI25" s="261"/>
      <c r="AJ25" s="326"/>
      <c r="AK25" s="260"/>
      <c r="AL25" s="261"/>
      <c r="AM25" s="261"/>
      <c r="AN25" s="326"/>
      <c r="AO25" s="260"/>
      <c r="AP25" s="261"/>
      <c r="AQ25" s="261"/>
      <c r="AR25" s="326"/>
      <c r="AS25" s="260"/>
      <c r="AT25" s="261"/>
      <c r="AU25" s="261"/>
      <c r="AV25" s="326"/>
      <c r="AW25" s="260"/>
      <c r="AX25" s="261"/>
      <c r="AY25" s="261"/>
      <c r="AZ25" s="326"/>
      <c r="BA25" s="260"/>
      <c r="BB25" s="261"/>
      <c r="BC25" s="261"/>
      <c r="BD25" s="326"/>
      <c r="BE25" s="260"/>
      <c r="BF25" s="261"/>
      <c r="BG25" s="261"/>
      <c r="BH25" s="262"/>
    </row>
    <row r="26" spans="1:60" ht="12.75" customHeight="1">
      <c r="A26" s="379"/>
      <c r="B26" s="380"/>
      <c r="C26" s="381">
        <v>1</v>
      </c>
      <c r="D26" s="380"/>
      <c r="E26" s="269">
        <f>Bilgiler!A29</f>
        <v>0</v>
      </c>
      <c r="F26" s="270"/>
      <c r="G26" s="270"/>
      <c r="H26" s="271"/>
      <c r="I26" s="269">
        <f>Bilgiler!C29</f>
        <v>0</v>
      </c>
      <c r="J26" s="270"/>
      <c r="K26" s="270"/>
      <c r="L26" s="271"/>
      <c r="M26" s="269">
        <f>Bilgiler!E29</f>
        <v>0</v>
      </c>
      <c r="N26" s="270"/>
      <c r="O26" s="270"/>
      <c r="P26" s="271"/>
      <c r="Q26" s="269">
        <f>Bilgiler!G29</f>
        <v>0</v>
      </c>
      <c r="R26" s="270"/>
      <c r="S26" s="270"/>
      <c r="T26" s="271"/>
      <c r="U26" s="269">
        <f>Bilgiler!I29</f>
        <v>0</v>
      </c>
      <c r="V26" s="270"/>
      <c r="W26" s="270"/>
      <c r="X26" s="271"/>
      <c r="Y26" s="269">
        <f>Bilgiler!K29</f>
        <v>0</v>
      </c>
      <c r="Z26" s="270"/>
      <c r="AA26" s="270"/>
      <c r="AB26" s="271"/>
      <c r="AC26" s="269">
        <f>Bilgiler!M29</f>
        <v>0</v>
      </c>
      <c r="AD26" s="270"/>
      <c r="AE26" s="270"/>
      <c r="AF26" s="271"/>
      <c r="AG26" s="257"/>
      <c r="AH26" s="258"/>
      <c r="AI26" s="258"/>
      <c r="AJ26" s="263"/>
      <c r="AK26" s="257"/>
      <c r="AL26" s="258"/>
      <c r="AM26" s="258"/>
      <c r="AN26" s="263"/>
      <c r="AO26" s="257"/>
      <c r="AP26" s="258"/>
      <c r="AQ26" s="258"/>
      <c r="AR26" s="263"/>
      <c r="AS26" s="257"/>
      <c r="AT26" s="258"/>
      <c r="AU26" s="258"/>
      <c r="AV26" s="263"/>
      <c r="AW26" s="257"/>
      <c r="AX26" s="258"/>
      <c r="AY26" s="258"/>
      <c r="AZ26" s="263"/>
      <c r="BA26" s="257"/>
      <c r="BB26" s="258"/>
      <c r="BC26" s="258"/>
      <c r="BD26" s="263"/>
      <c r="BE26" s="257"/>
      <c r="BF26" s="258"/>
      <c r="BG26" s="258"/>
      <c r="BH26" s="259"/>
    </row>
    <row r="27" spans="1:60" ht="12.75" customHeight="1">
      <c r="A27" s="216"/>
      <c r="B27" s="217"/>
      <c r="C27" s="218"/>
      <c r="D27" s="217"/>
      <c r="E27" s="230"/>
      <c r="F27" s="231"/>
      <c r="G27" s="231"/>
      <c r="H27" s="232"/>
      <c r="I27" s="230"/>
      <c r="J27" s="231"/>
      <c r="K27" s="231"/>
      <c r="L27" s="232"/>
      <c r="M27" s="230"/>
      <c r="N27" s="231"/>
      <c r="O27" s="231"/>
      <c r="P27" s="232"/>
      <c r="Q27" s="230"/>
      <c r="R27" s="231"/>
      <c r="S27" s="231"/>
      <c r="T27" s="232"/>
      <c r="U27" s="230"/>
      <c r="V27" s="231"/>
      <c r="W27" s="231"/>
      <c r="X27" s="232"/>
      <c r="Y27" s="230"/>
      <c r="Z27" s="231"/>
      <c r="AA27" s="231"/>
      <c r="AB27" s="232"/>
      <c r="AC27" s="230"/>
      <c r="AD27" s="231"/>
      <c r="AE27" s="231"/>
      <c r="AF27" s="232"/>
      <c r="AG27" s="243"/>
      <c r="AH27" s="244"/>
      <c r="AI27" s="244"/>
      <c r="AJ27" s="264"/>
      <c r="AK27" s="243"/>
      <c r="AL27" s="244"/>
      <c r="AM27" s="244"/>
      <c r="AN27" s="264"/>
      <c r="AO27" s="243"/>
      <c r="AP27" s="244"/>
      <c r="AQ27" s="244"/>
      <c r="AR27" s="264"/>
      <c r="AS27" s="243"/>
      <c r="AT27" s="244"/>
      <c r="AU27" s="244"/>
      <c r="AV27" s="264"/>
      <c r="AW27" s="243"/>
      <c r="AX27" s="244"/>
      <c r="AY27" s="244"/>
      <c r="AZ27" s="264"/>
      <c r="BA27" s="243"/>
      <c r="BB27" s="244"/>
      <c r="BC27" s="244"/>
      <c r="BD27" s="264"/>
      <c r="BE27" s="243"/>
      <c r="BF27" s="244"/>
      <c r="BG27" s="244"/>
      <c r="BH27" s="245"/>
    </row>
    <row r="28" spans="1:60" ht="12.75" customHeight="1">
      <c r="A28" s="216"/>
      <c r="B28" s="217"/>
      <c r="C28" s="218"/>
      <c r="D28" s="217"/>
      <c r="E28" s="227"/>
      <c r="F28" s="228"/>
      <c r="G28" s="228"/>
      <c r="H28" s="229"/>
      <c r="I28" s="227"/>
      <c r="J28" s="228"/>
      <c r="K28" s="228"/>
      <c r="L28" s="229"/>
      <c r="M28" s="227"/>
      <c r="N28" s="228"/>
      <c r="O28" s="228"/>
      <c r="P28" s="229"/>
      <c r="Q28" s="213"/>
      <c r="R28" s="214"/>
      <c r="S28" s="214"/>
      <c r="T28" s="215"/>
      <c r="U28" s="213"/>
      <c r="V28" s="214"/>
      <c r="W28" s="214"/>
      <c r="X28" s="215"/>
      <c r="Y28" s="213"/>
      <c r="Z28" s="214"/>
      <c r="AA28" s="214"/>
      <c r="AB28" s="215"/>
      <c r="AC28" s="207"/>
      <c r="AD28" s="208"/>
      <c r="AE28" s="208"/>
      <c r="AF28" s="209"/>
      <c r="AG28" s="207"/>
      <c r="AH28" s="208"/>
      <c r="AI28" s="208"/>
      <c r="AJ28" s="209"/>
      <c r="AK28" s="207"/>
      <c r="AL28" s="208"/>
      <c r="AM28" s="208"/>
      <c r="AN28" s="209"/>
      <c r="AO28" s="207"/>
      <c r="AP28" s="208"/>
      <c r="AQ28" s="208"/>
      <c r="AR28" s="209"/>
      <c r="AS28" s="207"/>
      <c r="AT28" s="208"/>
      <c r="AU28" s="208"/>
      <c r="AV28" s="209"/>
      <c r="AW28" s="207"/>
      <c r="AX28" s="208"/>
      <c r="AY28" s="208"/>
      <c r="AZ28" s="209"/>
      <c r="BA28" s="207"/>
      <c r="BB28" s="208"/>
      <c r="BC28" s="208"/>
      <c r="BD28" s="209"/>
      <c r="BE28" s="240"/>
      <c r="BF28" s="241"/>
      <c r="BG28" s="241"/>
      <c r="BH28" s="242"/>
    </row>
    <row r="29" spans="1:60" ht="15" customHeight="1">
      <c r="A29" s="216"/>
      <c r="B29" s="217"/>
      <c r="C29" s="218"/>
      <c r="D29" s="217"/>
      <c r="E29" s="230"/>
      <c r="F29" s="231"/>
      <c r="G29" s="231"/>
      <c r="H29" s="232"/>
      <c r="I29" s="230"/>
      <c r="J29" s="231"/>
      <c r="K29" s="231"/>
      <c r="L29" s="232"/>
      <c r="M29" s="230"/>
      <c r="N29" s="231"/>
      <c r="O29" s="231"/>
      <c r="P29" s="232"/>
      <c r="Q29" s="213"/>
      <c r="R29" s="214"/>
      <c r="S29" s="214"/>
      <c r="T29" s="215"/>
      <c r="U29" s="213"/>
      <c r="V29" s="214"/>
      <c r="W29" s="214"/>
      <c r="X29" s="215"/>
      <c r="Y29" s="213"/>
      <c r="Z29" s="214"/>
      <c r="AA29" s="214"/>
      <c r="AB29" s="215"/>
      <c r="AC29" s="207"/>
      <c r="AD29" s="208"/>
      <c r="AE29" s="208"/>
      <c r="AF29" s="209"/>
      <c r="AG29" s="207"/>
      <c r="AH29" s="208"/>
      <c r="AI29" s="208"/>
      <c r="AJ29" s="209"/>
      <c r="AK29" s="207"/>
      <c r="AL29" s="208"/>
      <c r="AM29" s="208"/>
      <c r="AN29" s="209"/>
      <c r="AO29" s="207"/>
      <c r="AP29" s="208"/>
      <c r="AQ29" s="208"/>
      <c r="AR29" s="209"/>
      <c r="AS29" s="207"/>
      <c r="AT29" s="208"/>
      <c r="AU29" s="208"/>
      <c r="AV29" s="209"/>
      <c r="AW29" s="207"/>
      <c r="AX29" s="208"/>
      <c r="AY29" s="208"/>
      <c r="AZ29" s="209"/>
      <c r="BA29" s="207"/>
      <c r="BB29" s="208"/>
      <c r="BC29" s="208"/>
      <c r="BD29" s="209"/>
      <c r="BE29" s="243"/>
      <c r="BF29" s="244"/>
      <c r="BG29" s="244"/>
      <c r="BH29" s="245"/>
    </row>
    <row r="30" spans="1:60" ht="15" customHeight="1">
      <c r="A30" s="216"/>
      <c r="B30" s="217"/>
      <c r="C30" s="218"/>
      <c r="D30" s="217"/>
      <c r="E30" s="227"/>
      <c r="F30" s="228"/>
      <c r="G30" s="228"/>
      <c r="H30" s="229"/>
      <c r="I30" s="227"/>
      <c r="J30" s="228"/>
      <c r="K30" s="228"/>
      <c r="L30" s="229"/>
      <c r="M30" s="227"/>
      <c r="N30" s="228"/>
      <c r="O30" s="228"/>
      <c r="P30" s="229"/>
      <c r="Q30" s="213"/>
      <c r="R30" s="214"/>
      <c r="S30" s="214"/>
      <c r="T30" s="215"/>
      <c r="U30" s="213"/>
      <c r="V30" s="214"/>
      <c r="W30" s="214"/>
      <c r="X30" s="215"/>
      <c r="Y30" s="213"/>
      <c r="Z30" s="214"/>
      <c r="AA30" s="214"/>
      <c r="AB30" s="215"/>
      <c r="AC30" s="207"/>
      <c r="AD30" s="208"/>
      <c r="AE30" s="208"/>
      <c r="AF30" s="209"/>
      <c r="AG30" s="207"/>
      <c r="AH30" s="208"/>
      <c r="AI30" s="208"/>
      <c r="AJ30" s="209"/>
      <c r="AK30" s="207"/>
      <c r="AL30" s="208"/>
      <c r="AM30" s="208"/>
      <c r="AN30" s="209"/>
      <c r="AO30" s="207"/>
      <c r="AP30" s="208"/>
      <c r="AQ30" s="208"/>
      <c r="AR30" s="209"/>
      <c r="AS30" s="207"/>
      <c r="AT30" s="208"/>
      <c r="AU30" s="208"/>
      <c r="AV30" s="209"/>
      <c r="AW30" s="207"/>
      <c r="AX30" s="208"/>
      <c r="AY30" s="208"/>
      <c r="AZ30" s="209"/>
      <c r="BA30" s="207"/>
      <c r="BB30" s="208"/>
      <c r="BC30" s="208"/>
      <c r="BD30" s="209"/>
      <c r="BE30" s="240"/>
      <c r="BF30" s="241"/>
      <c r="BG30" s="241"/>
      <c r="BH30" s="242"/>
    </row>
    <row r="31" spans="1:60" s="34" customFormat="1" ht="14.25" customHeight="1">
      <c r="A31" s="216"/>
      <c r="B31" s="217"/>
      <c r="C31" s="218"/>
      <c r="D31" s="217"/>
      <c r="E31" s="230"/>
      <c r="F31" s="231"/>
      <c r="G31" s="231"/>
      <c r="H31" s="232"/>
      <c r="I31" s="230"/>
      <c r="J31" s="231"/>
      <c r="K31" s="231"/>
      <c r="L31" s="232"/>
      <c r="M31" s="230"/>
      <c r="N31" s="231"/>
      <c r="O31" s="231"/>
      <c r="P31" s="232"/>
      <c r="Q31" s="213"/>
      <c r="R31" s="214"/>
      <c r="S31" s="214"/>
      <c r="T31" s="215"/>
      <c r="U31" s="213"/>
      <c r="V31" s="214"/>
      <c r="W31" s="214"/>
      <c r="X31" s="215"/>
      <c r="Y31" s="213"/>
      <c r="Z31" s="214"/>
      <c r="AA31" s="214"/>
      <c r="AB31" s="215"/>
      <c r="AC31" s="207"/>
      <c r="AD31" s="208"/>
      <c r="AE31" s="208"/>
      <c r="AF31" s="209"/>
      <c r="AG31" s="207"/>
      <c r="AH31" s="208"/>
      <c r="AI31" s="208"/>
      <c r="AJ31" s="209"/>
      <c r="AK31" s="207"/>
      <c r="AL31" s="208"/>
      <c r="AM31" s="208"/>
      <c r="AN31" s="209"/>
      <c r="AO31" s="207"/>
      <c r="AP31" s="208"/>
      <c r="AQ31" s="208"/>
      <c r="AR31" s="209"/>
      <c r="AS31" s="207"/>
      <c r="AT31" s="208"/>
      <c r="AU31" s="208"/>
      <c r="AV31" s="209"/>
      <c r="AW31" s="207"/>
      <c r="AX31" s="208"/>
      <c r="AY31" s="208"/>
      <c r="AZ31" s="209"/>
      <c r="BA31" s="207"/>
      <c r="BB31" s="208"/>
      <c r="BC31" s="208"/>
      <c r="BD31" s="209"/>
      <c r="BE31" s="243"/>
      <c r="BF31" s="244"/>
      <c r="BG31" s="244"/>
      <c r="BH31" s="245"/>
    </row>
    <row r="32" spans="1:60" s="34" customFormat="1" ht="14.25" customHeight="1">
      <c r="A32" s="216"/>
      <c r="B32" s="217"/>
      <c r="C32" s="218"/>
      <c r="D32" s="217"/>
      <c r="E32" s="227"/>
      <c r="F32" s="228"/>
      <c r="G32" s="228"/>
      <c r="H32" s="229"/>
      <c r="I32" s="227"/>
      <c r="J32" s="228"/>
      <c r="K32" s="228"/>
      <c r="L32" s="229"/>
      <c r="M32" s="227"/>
      <c r="N32" s="228"/>
      <c r="O32" s="228"/>
      <c r="P32" s="229"/>
      <c r="Q32" s="213"/>
      <c r="R32" s="214"/>
      <c r="S32" s="214"/>
      <c r="T32" s="215"/>
      <c r="U32" s="213"/>
      <c r="V32" s="214"/>
      <c r="W32" s="214"/>
      <c r="X32" s="215"/>
      <c r="Y32" s="213"/>
      <c r="Z32" s="214"/>
      <c r="AA32" s="214"/>
      <c r="AB32" s="215"/>
      <c r="AC32" s="207"/>
      <c r="AD32" s="208"/>
      <c r="AE32" s="208"/>
      <c r="AF32" s="209"/>
      <c r="AG32" s="207"/>
      <c r="AH32" s="208"/>
      <c r="AI32" s="208"/>
      <c r="AJ32" s="209"/>
      <c r="AK32" s="207"/>
      <c r="AL32" s="208"/>
      <c r="AM32" s="208"/>
      <c r="AN32" s="209"/>
      <c r="AO32" s="207"/>
      <c r="AP32" s="208"/>
      <c r="AQ32" s="208"/>
      <c r="AR32" s="209"/>
      <c r="AS32" s="207"/>
      <c r="AT32" s="208"/>
      <c r="AU32" s="208"/>
      <c r="AV32" s="209"/>
      <c r="AW32" s="207"/>
      <c r="AX32" s="208"/>
      <c r="AY32" s="208"/>
      <c r="AZ32" s="209"/>
      <c r="BA32" s="207"/>
      <c r="BB32" s="208"/>
      <c r="BC32" s="208"/>
      <c r="BD32" s="209"/>
      <c r="BE32" s="240"/>
      <c r="BF32" s="241"/>
      <c r="BG32" s="241"/>
      <c r="BH32" s="242"/>
    </row>
    <row r="33" spans="1:60" ht="12.75" customHeight="1">
      <c r="A33" s="216"/>
      <c r="B33" s="217"/>
      <c r="C33" s="218"/>
      <c r="D33" s="217"/>
      <c r="E33" s="230"/>
      <c r="F33" s="231"/>
      <c r="G33" s="231"/>
      <c r="H33" s="232"/>
      <c r="I33" s="230"/>
      <c r="J33" s="231"/>
      <c r="K33" s="231"/>
      <c r="L33" s="232"/>
      <c r="M33" s="230"/>
      <c r="N33" s="231"/>
      <c r="O33" s="231"/>
      <c r="P33" s="232"/>
      <c r="Q33" s="213"/>
      <c r="R33" s="214"/>
      <c r="S33" s="214"/>
      <c r="T33" s="215"/>
      <c r="U33" s="213"/>
      <c r="V33" s="214"/>
      <c r="W33" s="214"/>
      <c r="X33" s="215"/>
      <c r="Y33" s="213"/>
      <c r="Z33" s="214"/>
      <c r="AA33" s="214"/>
      <c r="AB33" s="215"/>
      <c r="AC33" s="207"/>
      <c r="AD33" s="208"/>
      <c r="AE33" s="208"/>
      <c r="AF33" s="209"/>
      <c r="AG33" s="207"/>
      <c r="AH33" s="208"/>
      <c r="AI33" s="208"/>
      <c r="AJ33" s="209"/>
      <c r="AK33" s="207"/>
      <c r="AL33" s="208"/>
      <c r="AM33" s="208"/>
      <c r="AN33" s="209"/>
      <c r="AO33" s="207"/>
      <c r="AP33" s="208"/>
      <c r="AQ33" s="208"/>
      <c r="AR33" s="209"/>
      <c r="AS33" s="207"/>
      <c r="AT33" s="208"/>
      <c r="AU33" s="208"/>
      <c r="AV33" s="209"/>
      <c r="AW33" s="207"/>
      <c r="AX33" s="208"/>
      <c r="AY33" s="208"/>
      <c r="AZ33" s="209"/>
      <c r="BA33" s="207"/>
      <c r="BB33" s="208"/>
      <c r="BC33" s="208"/>
      <c r="BD33" s="209"/>
      <c r="BE33" s="243"/>
      <c r="BF33" s="244"/>
      <c r="BG33" s="244"/>
      <c r="BH33" s="245"/>
    </row>
    <row r="34" spans="1:60" ht="12.75" customHeight="1">
      <c r="A34" s="216"/>
      <c r="B34" s="217"/>
      <c r="C34" s="218"/>
      <c r="D34" s="217"/>
      <c r="E34" s="227"/>
      <c r="F34" s="228"/>
      <c r="G34" s="228"/>
      <c r="H34" s="229"/>
      <c r="I34" s="227"/>
      <c r="J34" s="228"/>
      <c r="K34" s="228"/>
      <c r="L34" s="229"/>
      <c r="M34" s="227"/>
      <c r="N34" s="228"/>
      <c r="O34" s="228"/>
      <c r="P34" s="229"/>
      <c r="Q34" s="213"/>
      <c r="R34" s="214"/>
      <c r="S34" s="214"/>
      <c r="T34" s="215"/>
      <c r="U34" s="213"/>
      <c r="V34" s="214"/>
      <c r="W34" s="214"/>
      <c r="X34" s="215"/>
      <c r="Y34" s="213"/>
      <c r="Z34" s="214"/>
      <c r="AA34" s="214"/>
      <c r="AB34" s="215"/>
      <c r="AC34" s="207"/>
      <c r="AD34" s="208"/>
      <c r="AE34" s="208"/>
      <c r="AF34" s="209"/>
      <c r="AG34" s="207"/>
      <c r="AH34" s="208"/>
      <c r="AI34" s="208"/>
      <c r="AJ34" s="209"/>
      <c r="AK34" s="207"/>
      <c r="AL34" s="208"/>
      <c r="AM34" s="208"/>
      <c r="AN34" s="209"/>
      <c r="AO34" s="207"/>
      <c r="AP34" s="208"/>
      <c r="AQ34" s="208"/>
      <c r="AR34" s="209"/>
      <c r="AS34" s="207"/>
      <c r="AT34" s="208"/>
      <c r="AU34" s="208"/>
      <c r="AV34" s="209"/>
      <c r="AW34" s="207"/>
      <c r="AX34" s="208"/>
      <c r="AY34" s="208"/>
      <c r="AZ34" s="209"/>
      <c r="BA34" s="207"/>
      <c r="BB34" s="208"/>
      <c r="BC34" s="208"/>
      <c r="BD34" s="209"/>
      <c r="BE34" s="240"/>
      <c r="BF34" s="241"/>
      <c r="BG34" s="241"/>
      <c r="BH34" s="242"/>
    </row>
    <row r="35" spans="1:60" ht="12.75" customHeight="1">
      <c r="A35" s="216"/>
      <c r="B35" s="217"/>
      <c r="C35" s="218"/>
      <c r="D35" s="217"/>
      <c r="E35" s="230"/>
      <c r="F35" s="231"/>
      <c r="G35" s="231"/>
      <c r="H35" s="232"/>
      <c r="I35" s="230"/>
      <c r="J35" s="231"/>
      <c r="K35" s="231"/>
      <c r="L35" s="232"/>
      <c r="M35" s="230"/>
      <c r="N35" s="231"/>
      <c r="O35" s="231"/>
      <c r="P35" s="232"/>
      <c r="Q35" s="213"/>
      <c r="R35" s="214"/>
      <c r="S35" s="214"/>
      <c r="T35" s="215"/>
      <c r="U35" s="213"/>
      <c r="V35" s="214"/>
      <c r="W35" s="214"/>
      <c r="X35" s="215"/>
      <c r="Y35" s="213"/>
      <c r="Z35" s="214"/>
      <c r="AA35" s="214"/>
      <c r="AB35" s="215"/>
      <c r="AC35" s="207"/>
      <c r="AD35" s="208"/>
      <c r="AE35" s="208"/>
      <c r="AF35" s="209"/>
      <c r="AG35" s="207"/>
      <c r="AH35" s="208"/>
      <c r="AI35" s="208"/>
      <c r="AJ35" s="209"/>
      <c r="AK35" s="207"/>
      <c r="AL35" s="208"/>
      <c r="AM35" s="208"/>
      <c r="AN35" s="209"/>
      <c r="AO35" s="207"/>
      <c r="AP35" s="208"/>
      <c r="AQ35" s="208"/>
      <c r="AR35" s="209"/>
      <c r="AS35" s="207"/>
      <c r="AT35" s="208"/>
      <c r="AU35" s="208"/>
      <c r="AV35" s="209"/>
      <c r="AW35" s="207"/>
      <c r="AX35" s="208"/>
      <c r="AY35" s="208"/>
      <c r="AZ35" s="209"/>
      <c r="BA35" s="207"/>
      <c r="BB35" s="208"/>
      <c r="BC35" s="208"/>
      <c r="BD35" s="209"/>
      <c r="BE35" s="243"/>
      <c r="BF35" s="244"/>
      <c r="BG35" s="244"/>
      <c r="BH35" s="245"/>
    </row>
    <row r="36" spans="1:60" ht="12.75" customHeight="1">
      <c r="A36" s="216"/>
      <c r="B36" s="217"/>
      <c r="C36" s="218"/>
      <c r="D36" s="217"/>
      <c r="E36" s="227"/>
      <c r="F36" s="228"/>
      <c r="G36" s="228"/>
      <c r="H36" s="229"/>
      <c r="I36" s="227"/>
      <c r="J36" s="228"/>
      <c r="K36" s="228"/>
      <c r="L36" s="229"/>
      <c r="M36" s="227"/>
      <c r="N36" s="228"/>
      <c r="O36" s="228"/>
      <c r="P36" s="229"/>
      <c r="Q36" s="213"/>
      <c r="R36" s="214"/>
      <c r="S36" s="214"/>
      <c r="T36" s="215"/>
      <c r="U36" s="213"/>
      <c r="V36" s="214"/>
      <c r="W36" s="214"/>
      <c r="X36" s="215"/>
      <c r="Y36" s="213"/>
      <c r="Z36" s="214"/>
      <c r="AA36" s="214"/>
      <c r="AB36" s="215"/>
      <c r="AC36" s="207"/>
      <c r="AD36" s="208"/>
      <c r="AE36" s="208"/>
      <c r="AF36" s="209"/>
      <c r="AG36" s="207"/>
      <c r="AH36" s="208"/>
      <c r="AI36" s="208"/>
      <c r="AJ36" s="209"/>
      <c r="AK36" s="207"/>
      <c r="AL36" s="208"/>
      <c r="AM36" s="208"/>
      <c r="AN36" s="209"/>
      <c r="AO36" s="207"/>
      <c r="AP36" s="208"/>
      <c r="AQ36" s="208"/>
      <c r="AR36" s="209"/>
      <c r="AS36" s="207"/>
      <c r="AT36" s="208"/>
      <c r="AU36" s="208"/>
      <c r="AV36" s="209"/>
      <c r="AW36" s="207"/>
      <c r="AX36" s="208"/>
      <c r="AY36" s="208"/>
      <c r="AZ36" s="209"/>
      <c r="BA36" s="207"/>
      <c r="BB36" s="208"/>
      <c r="BC36" s="208"/>
      <c r="BD36" s="209"/>
      <c r="BE36" s="240"/>
      <c r="BF36" s="241"/>
      <c r="BG36" s="241"/>
      <c r="BH36" s="242"/>
    </row>
    <row r="37" spans="1:60" ht="12.75" customHeight="1">
      <c r="A37" s="216"/>
      <c r="B37" s="217"/>
      <c r="C37" s="218"/>
      <c r="D37" s="217"/>
      <c r="E37" s="230"/>
      <c r="F37" s="231"/>
      <c r="G37" s="231"/>
      <c r="H37" s="232"/>
      <c r="I37" s="230"/>
      <c r="J37" s="231"/>
      <c r="K37" s="231"/>
      <c r="L37" s="232"/>
      <c r="M37" s="230"/>
      <c r="N37" s="231"/>
      <c r="O37" s="231"/>
      <c r="P37" s="232"/>
      <c r="Q37" s="213"/>
      <c r="R37" s="214"/>
      <c r="S37" s="214"/>
      <c r="T37" s="215"/>
      <c r="U37" s="213"/>
      <c r="V37" s="214"/>
      <c r="W37" s="214"/>
      <c r="X37" s="215"/>
      <c r="Y37" s="213"/>
      <c r="Z37" s="214"/>
      <c r="AA37" s="214"/>
      <c r="AB37" s="215"/>
      <c r="AC37" s="207"/>
      <c r="AD37" s="208"/>
      <c r="AE37" s="208"/>
      <c r="AF37" s="209"/>
      <c r="AG37" s="207"/>
      <c r="AH37" s="208"/>
      <c r="AI37" s="208"/>
      <c r="AJ37" s="209"/>
      <c r="AK37" s="207"/>
      <c r="AL37" s="208"/>
      <c r="AM37" s="208"/>
      <c r="AN37" s="209"/>
      <c r="AO37" s="207"/>
      <c r="AP37" s="208"/>
      <c r="AQ37" s="208"/>
      <c r="AR37" s="209"/>
      <c r="AS37" s="207"/>
      <c r="AT37" s="208"/>
      <c r="AU37" s="208"/>
      <c r="AV37" s="209"/>
      <c r="AW37" s="207"/>
      <c r="AX37" s="208"/>
      <c r="AY37" s="208"/>
      <c r="AZ37" s="209"/>
      <c r="BA37" s="207"/>
      <c r="BB37" s="208"/>
      <c r="BC37" s="208"/>
      <c r="BD37" s="209"/>
      <c r="BE37" s="243"/>
      <c r="BF37" s="244"/>
      <c r="BG37" s="244"/>
      <c r="BH37" s="245"/>
    </row>
    <row r="38" spans="1:60" ht="12.75" customHeight="1">
      <c r="A38" s="216"/>
      <c r="B38" s="217"/>
      <c r="C38" s="218"/>
      <c r="D38" s="217"/>
      <c r="E38" s="227"/>
      <c r="F38" s="228"/>
      <c r="G38" s="228"/>
      <c r="H38" s="229"/>
      <c r="I38" s="227"/>
      <c r="J38" s="228"/>
      <c r="K38" s="228"/>
      <c r="L38" s="229"/>
      <c r="M38" s="227"/>
      <c r="N38" s="228"/>
      <c r="O38" s="228"/>
      <c r="P38" s="229"/>
      <c r="Q38" s="213"/>
      <c r="R38" s="214"/>
      <c r="S38" s="214"/>
      <c r="T38" s="215"/>
      <c r="U38" s="213"/>
      <c r="V38" s="214"/>
      <c r="W38" s="214"/>
      <c r="X38" s="215"/>
      <c r="Y38" s="213"/>
      <c r="Z38" s="214"/>
      <c r="AA38" s="214"/>
      <c r="AB38" s="215"/>
      <c r="AC38" s="207"/>
      <c r="AD38" s="208"/>
      <c r="AE38" s="208"/>
      <c r="AF38" s="209"/>
      <c r="AG38" s="207"/>
      <c r="AH38" s="208"/>
      <c r="AI38" s="208"/>
      <c r="AJ38" s="209"/>
      <c r="AK38" s="207"/>
      <c r="AL38" s="208"/>
      <c r="AM38" s="208"/>
      <c r="AN38" s="209"/>
      <c r="AO38" s="207"/>
      <c r="AP38" s="208"/>
      <c r="AQ38" s="208"/>
      <c r="AR38" s="209"/>
      <c r="AS38" s="207"/>
      <c r="AT38" s="208"/>
      <c r="AU38" s="208"/>
      <c r="AV38" s="209"/>
      <c r="AW38" s="207"/>
      <c r="AX38" s="208"/>
      <c r="AY38" s="208"/>
      <c r="AZ38" s="209"/>
      <c r="BA38" s="207"/>
      <c r="BB38" s="208"/>
      <c r="BC38" s="208"/>
      <c r="BD38" s="209"/>
      <c r="BE38" s="240"/>
      <c r="BF38" s="241"/>
      <c r="BG38" s="241"/>
      <c r="BH38" s="242"/>
    </row>
    <row r="39" spans="1:60" ht="12.75" customHeight="1">
      <c r="A39" s="216"/>
      <c r="B39" s="217"/>
      <c r="C39" s="218"/>
      <c r="D39" s="217"/>
      <c r="E39" s="230"/>
      <c r="F39" s="231"/>
      <c r="G39" s="231"/>
      <c r="H39" s="232"/>
      <c r="I39" s="230"/>
      <c r="J39" s="231"/>
      <c r="K39" s="231"/>
      <c r="L39" s="232"/>
      <c r="M39" s="230"/>
      <c r="N39" s="231"/>
      <c r="O39" s="231"/>
      <c r="P39" s="232"/>
      <c r="Q39" s="213"/>
      <c r="R39" s="214"/>
      <c r="S39" s="214"/>
      <c r="T39" s="215"/>
      <c r="U39" s="213"/>
      <c r="V39" s="214"/>
      <c r="W39" s="214"/>
      <c r="X39" s="215"/>
      <c r="Y39" s="213"/>
      <c r="Z39" s="214"/>
      <c r="AA39" s="214"/>
      <c r="AB39" s="215"/>
      <c r="AC39" s="207"/>
      <c r="AD39" s="208"/>
      <c r="AE39" s="208"/>
      <c r="AF39" s="209"/>
      <c r="AG39" s="207"/>
      <c r="AH39" s="208"/>
      <c r="AI39" s="208"/>
      <c r="AJ39" s="209"/>
      <c r="AK39" s="207"/>
      <c r="AL39" s="208"/>
      <c r="AM39" s="208"/>
      <c r="AN39" s="209"/>
      <c r="AO39" s="207"/>
      <c r="AP39" s="208"/>
      <c r="AQ39" s="208"/>
      <c r="AR39" s="209"/>
      <c r="AS39" s="207"/>
      <c r="AT39" s="208"/>
      <c r="AU39" s="208"/>
      <c r="AV39" s="209"/>
      <c r="AW39" s="207"/>
      <c r="AX39" s="208"/>
      <c r="AY39" s="208"/>
      <c r="AZ39" s="209"/>
      <c r="BA39" s="207"/>
      <c r="BB39" s="208"/>
      <c r="BC39" s="208"/>
      <c r="BD39" s="209"/>
      <c r="BE39" s="243"/>
      <c r="BF39" s="244"/>
      <c r="BG39" s="244"/>
      <c r="BH39" s="245"/>
    </row>
    <row r="40" spans="1:60" ht="12.75" customHeight="1">
      <c r="A40" s="216"/>
      <c r="B40" s="217"/>
      <c r="C40" s="218"/>
      <c r="D40" s="217"/>
      <c r="E40" s="227"/>
      <c r="F40" s="228"/>
      <c r="G40" s="228"/>
      <c r="H40" s="229"/>
      <c r="I40" s="227"/>
      <c r="J40" s="228"/>
      <c r="K40" s="228"/>
      <c r="L40" s="229"/>
      <c r="M40" s="227"/>
      <c r="N40" s="228"/>
      <c r="O40" s="228"/>
      <c r="P40" s="229"/>
      <c r="Q40" s="213"/>
      <c r="R40" s="214"/>
      <c r="S40" s="214"/>
      <c r="T40" s="215"/>
      <c r="U40" s="213"/>
      <c r="V40" s="214"/>
      <c r="W40" s="214"/>
      <c r="X40" s="215"/>
      <c r="Y40" s="213"/>
      <c r="Z40" s="214"/>
      <c r="AA40" s="214"/>
      <c r="AB40" s="215"/>
      <c r="AC40" s="207"/>
      <c r="AD40" s="208"/>
      <c r="AE40" s="208"/>
      <c r="AF40" s="209"/>
      <c r="AG40" s="207"/>
      <c r="AH40" s="208"/>
      <c r="AI40" s="208"/>
      <c r="AJ40" s="209"/>
      <c r="AK40" s="207"/>
      <c r="AL40" s="208"/>
      <c r="AM40" s="208"/>
      <c r="AN40" s="209"/>
      <c r="AO40" s="207"/>
      <c r="AP40" s="208"/>
      <c r="AQ40" s="208"/>
      <c r="AR40" s="209"/>
      <c r="AS40" s="207"/>
      <c r="AT40" s="208"/>
      <c r="AU40" s="208"/>
      <c r="AV40" s="209"/>
      <c r="AW40" s="207"/>
      <c r="AX40" s="208"/>
      <c r="AY40" s="208"/>
      <c r="AZ40" s="209"/>
      <c r="BA40" s="207"/>
      <c r="BB40" s="208"/>
      <c r="BC40" s="208"/>
      <c r="BD40" s="209"/>
      <c r="BE40" s="240"/>
      <c r="BF40" s="241"/>
      <c r="BG40" s="241"/>
      <c r="BH40" s="242"/>
    </row>
    <row r="41" spans="1:60" ht="12.75" customHeight="1">
      <c r="A41" s="216"/>
      <c r="B41" s="217"/>
      <c r="C41" s="218"/>
      <c r="D41" s="217"/>
      <c r="E41" s="230"/>
      <c r="F41" s="231"/>
      <c r="G41" s="231"/>
      <c r="H41" s="232"/>
      <c r="I41" s="230"/>
      <c r="J41" s="231"/>
      <c r="K41" s="231"/>
      <c r="L41" s="232"/>
      <c r="M41" s="230"/>
      <c r="N41" s="231"/>
      <c r="O41" s="231"/>
      <c r="P41" s="232"/>
      <c r="Q41" s="213"/>
      <c r="R41" s="214"/>
      <c r="S41" s="214"/>
      <c r="T41" s="215"/>
      <c r="U41" s="213"/>
      <c r="V41" s="214"/>
      <c r="W41" s="214"/>
      <c r="X41" s="215"/>
      <c r="Y41" s="213"/>
      <c r="Z41" s="214"/>
      <c r="AA41" s="214"/>
      <c r="AB41" s="215"/>
      <c r="AC41" s="207"/>
      <c r="AD41" s="208"/>
      <c r="AE41" s="208"/>
      <c r="AF41" s="209"/>
      <c r="AG41" s="207"/>
      <c r="AH41" s="208"/>
      <c r="AI41" s="208"/>
      <c r="AJ41" s="209"/>
      <c r="AK41" s="207"/>
      <c r="AL41" s="208"/>
      <c r="AM41" s="208"/>
      <c r="AN41" s="209"/>
      <c r="AO41" s="207"/>
      <c r="AP41" s="208"/>
      <c r="AQ41" s="208"/>
      <c r="AR41" s="209"/>
      <c r="AS41" s="207"/>
      <c r="AT41" s="208"/>
      <c r="AU41" s="208"/>
      <c r="AV41" s="209"/>
      <c r="AW41" s="207"/>
      <c r="AX41" s="208"/>
      <c r="AY41" s="208"/>
      <c r="AZ41" s="209"/>
      <c r="BA41" s="207"/>
      <c r="BB41" s="208"/>
      <c r="BC41" s="208"/>
      <c r="BD41" s="209"/>
      <c r="BE41" s="243"/>
      <c r="BF41" s="244"/>
      <c r="BG41" s="244"/>
      <c r="BH41" s="245"/>
    </row>
    <row r="42" spans="1:60" ht="12.75" customHeight="1">
      <c r="A42" s="216"/>
      <c r="B42" s="217"/>
      <c r="C42" s="218"/>
      <c r="D42" s="217"/>
      <c r="E42" s="227"/>
      <c r="F42" s="228"/>
      <c r="G42" s="228"/>
      <c r="H42" s="229"/>
      <c r="I42" s="227"/>
      <c r="J42" s="228"/>
      <c r="K42" s="228"/>
      <c r="L42" s="229"/>
      <c r="M42" s="227"/>
      <c r="N42" s="228"/>
      <c r="O42" s="228"/>
      <c r="P42" s="229"/>
      <c r="Q42" s="213"/>
      <c r="R42" s="214"/>
      <c r="S42" s="214"/>
      <c r="T42" s="215"/>
      <c r="U42" s="213"/>
      <c r="V42" s="214"/>
      <c r="W42" s="214"/>
      <c r="X42" s="215"/>
      <c r="Y42" s="213"/>
      <c r="Z42" s="214"/>
      <c r="AA42" s="214"/>
      <c r="AB42" s="215"/>
      <c r="AC42" s="207"/>
      <c r="AD42" s="208"/>
      <c r="AE42" s="208"/>
      <c r="AF42" s="209"/>
      <c r="AG42" s="207"/>
      <c r="AH42" s="208"/>
      <c r="AI42" s="208"/>
      <c r="AJ42" s="209"/>
      <c r="AK42" s="207"/>
      <c r="AL42" s="208"/>
      <c r="AM42" s="208"/>
      <c r="AN42" s="209"/>
      <c r="AO42" s="207"/>
      <c r="AP42" s="208"/>
      <c r="AQ42" s="208"/>
      <c r="AR42" s="209"/>
      <c r="AS42" s="207"/>
      <c r="AT42" s="208"/>
      <c r="AU42" s="208"/>
      <c r="AV42" s="209"/>
      <c r="AW42" s="207"/>
      <c r="AX42" s="208"/>
      <c r="AY42" s="208"/>
      <c r="AZ42" s="209"/>
      <c r="BA42" s="207"/>
      <c r="BB42" s="208"/>
      <c r="BC42" s="208"/>
      <c r="BD42" s="209"/>
      <c r="BE42" s="240"/>
      <c r="BF42" s="241"/>
      <c r="BG42" s="241"/>
      <c r="BH42" s="242"/>
    </row>
    <row r="43" spans="1:60" ht="12.75" customHeight="1">
      <c r="A43" s="216"/>
      <c r="B43" s="217"/>
      <c r="C43" s="218"/>
      <c r="D43" s="217"/>
      <c r="E43" s="230"/>
      <c r="F43" s="231"/>
      <c r="G43" s="231"/>
      <c r="H43" s="232"/>
      <c r="I43" s="230"/>
      <c r="J43" s="231"/>
      <c r="K43" s="231"/>
      <c r="L43" s="232"/>
      <c r="M43" s="230"/>
      <c r="N43" s="231"/>
      <c r="O43" s="231"/>
      <c r="P43" s="232"/>
      <c r="Q43" s="213"/>
      <c r="R43" s="214"/>
      <c r="S43" s="214"/>
      <c r="T43" s="215"/>
      <c r="U43" s="213"/>
      <c r="V43" s="214"/>
      <c r="W43" s="214"/>
      <c r="X43" s="215"/>
      <c r="Y43" s="213"/>
      <c r="Z43" s="214"/>
      <c r="AA43" s="214"/>
      <c r="AB43" s="215"/>
      <c r="AC43" s="207"/>
      <c r="AD43" s="208"/>
      <c r="AE43" s="208"/>
      <c r="AF43" s="209"/>
      <c r="AG43" s="207"/>
      <c r="AH43" s="208"/>
      <c r="AI43" s="208"/>
      <c r="AJ43" s="209"/>
      <c r="AK43" s="207"/>
      <c r="AL43" s="208"/>
      <c r="AM43" s="208"/>
      <c r="AN43" s="209"/>
      <c r="AO43" s="207"/>
      <c r="AP43" s="208"/>
      <c r="AQ43" s="208"/>
      <c r="AR43" s="209"/>
      <c r="AS43" s="207"/>
      <c r="AT43" s="208"/>
      <c r="AU43" s="208"/>
      <c r="AV43" s="209"/>
      <c r="AW43" s="207"/>
      <c r="AX43" s="208"/>
      <c r="AY43" s="208"/>
      <c r="AZ43" s="209"/>
      <c r="BA43" s="207"/>
      <c r="BB43" s="208"/>
      <c r="BC43" s="208"/>
      <c r="BD43" s="209"/>
      <c r="BE43" s="243"/>
      <c r="BF43" s="244"/>
      <c r="BG43" s="244"/>
      <c r="BH43" s="245"/>
    </row>
    <row r="44" spans="1:60" ht="12.75" customHeight="1">
      <c r="A44" s="216"/>
      <c r="B44" s="217"/>
      <c r="C44" s="218"/>
      <c r="D44" s="217"/>
      <c r="E44" s="227"/>
      <c r="F44" s="228"/>
      <c r="G44" s="228"/>
      <c r="H44" s="229"/>
      <c r="I44" s="227"/>
      <c r="J44" s="228"/>
      <c r="K44" s="228"/>
      <c r="L44" s="229"/>
      <c r="M44" s="227"/>
      <c r="N44" s="228"/>
      <c r="O44" s="228"/>
      <c r="P44" s="229"/>
      <c r="Q44" s="213"/>
      <c r="R44" s="214"/>
      <c r="S44" s="214"/>
      <c r="T44" s="215"/>
      <c r="U44" s="213"/>
      <c r="V44" s="214"/>
      <c r="W44" s="214"/>
      <c r="X44" s="215"/>
      <c r="Y44" s="213"/>
      <c r="Z44" s="214"/>
      <c r="AA44" s="214"/>
      <c r="AB44" s="215"/>
      <c r="AC44" s="207"/>
      <c r="AD44" s="208"/>
      <c r="AE44" s="208"/>
      <c r="AF44" s="209"/>
      <c r="AG44" s="207"/>
      <c r="AH44" s="208"/>
      <c r="AI44" s="208"/>
      <c r="AJ44" s="209"/>
      <c r="AK44" s="207"/>
      <c r="AL44" s="208"/>
      <c r="AM44" s="208"/>
      <c r="AN44" s="209"/>
      <c r="AO44" s="207"/>
      <c r="AP44" s="208"/>
      <c r="AQ44" s="208"/>
      <c r="AR44" s="209"/>
      <c r="AS44" s="207"/>
      <c r="AT44" s="208"/>
      <c r="AU44" s="208"/>
      <c r="AV44" s="209"/>
      <c r="AW44" s="207"/>
      <c r="AX44" s="208"/>
      <c r="AY44" s="208"/>
      <c r="AZ44" s="209"/>
      <c r="BA44" s="207"/>
      <c r="BB44" s="208"/>
      <c r="BC44" s="208"/>
      <c r="BD44" s="209"/>
      <c r="BE44" s="240"/>
      <c r="BF44" s="241"/>
      <c r="BG44" s="241"/>
      <c r="BH44" s="242"/>
    </row>
    <row r="45" spans="1:60" ht="12.75" customHeight="1">
      <c r="A45" s="216"/>
      <c r="B45" s="217"/>
      <c r="C45" s="218"/>
      <c r="D45" s="217"/>
      <c r="E45" s="230"/>
      <c r="F45" s="231"/>
      <c r="G45" s="231"/>
      <c r="H45" s="232"/>
      <c r="I45" s="230"/>
      <c r="J45" s="231"/>
      <c r="K45" s="231"/>
      <c r="L45" s="232"/>
      <c r="M45" s="230"/>
      <c r="N45" s="231"/>
      <c r="O45" s="231"/>
      <c r="P45" s="232"/>
      <c r="Q45" s="213"/>
      <c r="R45" s="214"/>
      <c r="S45" s="214"/>
      <c r="T45" s="215"/>
      <c r="U45" s="213"/>
      <c r="V45" s="214"/>
      <c r="W45" s="214"/>
      <c r="X45" s="215"/>
      <c r="Y45" s="213"/>
      <c r="Z45" s="214"/>
      <c r="AA45" s="214"/>
      <c r="AB45" s="215"/>
      <c r="AC45" s="207"/>
      <c r="AD45" s="208"/>
      <c r="AE45" s="208"/>
      <c r="AF45" s="209"/>
      <c r="AG45" s="207"/>
      <c r="AH45" s="208"/>
      <c r="AI45" s="208"/>
      <c r="AJ45" s="209"/>
      <c r="AK45" s="207"/>
      <c r="AL45" s="208"/>
      <c r="AM45" s="208"/>
      <c r="AN45" s="209"/>
      <c r="AO45" s="207"/>
      <c r="AP45" s="208"/>
      <c r="AQ45" s="208"/>
      <c r="AR45" s="209"/>
      <c r="AS45" s="207"/>
      <c r="AT45" s="208"/>
      <c r="AU45" s="208"/>
      <c r="AV45" s="209"/>
      <c r="AW45" s="207"/>
      <c r="AX45" s="208"/>
      <c r="AY45" s="208"/>
      <c r="AZ45" s="209"/>
      <c r="BA45" s="207"/>
      <c r="BB45" s="208"/>
      <c r="BC45" s="208"/>
      <c r="BD45" s="209"/>
      <c r="BE45" s="243"/>
      <c r="BF45" s="244"/>
      <c r="BG45" s="244"/>
      <c r="BH45" s="245"/>
    </row>
    <row r="46" spans="1:60" ht="12.75" customHeight="1">
      <c r="A46" s="216"/>
      <c r="B46" s="217"/>
      <c r="C46" s="218"/>
      <c r="D46" s="217"/>
      <c r="E46" s="227"/>
      <c r="F46" s="228"/>
      <c r="G46" s="228"/>
      <c r="H46" s="229"/>
      <c r="I46" s="227"/>
      <c r="J46" s="228"/>
      <c r="K46" s="228"/>
      <c r="L46" s="229"/>
      <c r="M46" s="227"/>
      <c r="N46" s="228"/>
      <c r="O46" s="228"/>
      <c r="P46" s="229"/>
      <c r="Q46" s="213"/>
      <c r="R46" s="214"/>
      <c r="S46" s="214"/>
      <c r="T46" s="215"/>
      <c r="U46" s="213"/>
      <c r="V46" s="214"/>
      <c r="W46" s="214"/>
      <c r="X46" s="215"/>
      <c r="Y46" s="213"/>
      <c r="Z46" s="214"/>
      <c r="AA46" s="214"/>
      <c r="AB46" s="215"/>
      <c r="AC46" s="207"/>
      <c r="AD46" s="208"/>
      <c r="AE46" s="208"/>
      <c r="AF46" s="209"/>
      <c r="AG46" s="207"/>
      <c r="AH46" s="208"/>
      <c r="AI46" s="208"/>
      <c r="AJ46" s="209"/>
      <c r="AK46" s="207"/>
      <c r="AL46" s="208"/>
      <c r="AM46" s="208"/>
      <c r="AN46" s="209"/>
      <c r="AO46" s="207"/>
      <c r="AP46" s="208"/>
      <c r="AQ46" s="208"/>
      <c r="AR46" s="209"/>
      <c r="AS46" s="207"/>
      <c r="AT46" s="208"/>
      <c r="AU46" s="208"/>
      <c r="AV46" s="209"/>
      <c r="AW46" s="207"/>
      <c r="AX46" s="208"/>
      <c r="AY46" s="208"/>
      <c r="AZ46" s="209"/>
      <c r="BA46" s="207"/>
      <c r="BB46" s="208"/>
      <c r="BC46" s="208"/>
      <c r="BD46" s="209"/>
      <c r="BE46" s="240"/>
      <c r="BF46" s="241"/>
      <c r="BG46" s="241"/>
      <c r="BH46" s="242"/>
    </row>
    <row r="47" spans="1:60" ht="12.75" customHeight="1">
      <c r="A47" s="216"/>
      <c r="B47" s="217"/>
      <c r="C47" s="218"/>
      <c r="D47" s="217"/>
      <c r="E47" s="230"/>
      <c r="F47" s="231"/>
      <c r="G47" s="231"/>
      <c r="H47" s="232"/>
      <c r="I47" s="230"/>
      <c r="J47" s="231"/>
      <c r="K47" s="231"/>
      <c r="L47" s="232"/>
      <c r="M47" s="230"/>
      <c r="N47" s="231"/>
      <c r="O47" s="231"/>
      <c r="P47" s="232"/>
      <c r="Q47" s="213"/>
      <c r="R47" s="214"/>
      <c r="S47" s="214"/>
      <c r="T47" s="215"/>
      <c r="U47" s="213"/>
      <c r="V47" s="214"/>
      <c r="W47" s="214"/>
      <c r="X47" s="215"/>
      <c r="Y47" s="213"/>
      <c r="Z47" s="214"/>
      <c r="AA47" s="214"/>
      <c r="AB47" s="215"/>
      <c r="AC47" s="207"/>
      <c r="AD47" s="208"/>
      <c r="AE47" s="208"/>
      <c r="AF47" s="209"/>
      <c r="AG47" s="207"/>
      <c r="AH47" s="208"/>
      <c r="AI47" s="208"/>
      <c r="AJ47" s="209"/>
      <c r="AK47" s="207"/>
      <c r="AL47" s="208"/>
      <c r="AM47" s="208"/>
      <c r="AN47" s="209"/>
      <c r="AO47" s="207"/>
      <c r="AP47" s="208"/>
      <c r="AQ47" s="208"/>
      <c r="AR47" s="209"/>
      <c r="AS47" s="207"/>
      <c r="AT47" s="208"/>
      <c r="AU47" s="208"/>
      <c r="AV47" s="209"/>
      <c r="AW47" s="207"/>
      <c r="AX47" s="208"/>
      <c r="AY47" s="208"/>
      <c r="AZ47" s="209"/>
      <c r="BA47" s="207"/>
      <c r="BB47" s="208"/>
      <c r="BC47" s="208"/>
      <c r="BD47" s="209"/>
      <c r="BE47" s="243"/>
      <c r="BF47" s="244"/>
      <c r="BG47" s="244"/>
      <c r="BH47" s="245"/>
    </row>
    <row r="48" spans="1:60" ht="12.75" customHeight="1">
      <c r="A48" s="216"/>
      <c r="B48" s="217"/>
      <c r="C48" s="218"/>
      <c r="D48" s="217"/>
      <c r="E48" s="227"/>
      <c r="F48" s="228"/>
      <c r="G48" s="228"/>
      <c r="H48" s="229"/>
      <c r="I48" s="227"/>
      <c r="J48" s="228"/>
      <c r="K48" s="228"/>
      <c r="L48" s="229"/>
      <c r="M48" s="227"/>
      <c r="N48" s="228"/>
      <c r="O48" s="228"/>
      <c r="P48" s="229"/>
      <c r="Q48" s="213"/>
      <c r="R48" s="214"/>
      <c r="S48" s="214"/>
      <c r="T48" s="215"/>
      <c r="U48" s="213"/>
      <c r="V48" s="214"/>
      <c r="W48" s="214"/>
      <c r="X48" s="215"/>
      <c r="Y48" s="213"/>
      <c r="Z48" s="214"/>
      <c r="AA48" s="214"/>
      <c r="AB48" s="215"/>
      <c r="AC48" s="207"/>
      <c r="AD48" s="208"/>
      <c r="AE48" s="208"/>
      <c r="AF48" s="209"/>
      <c r="AG48" s="207"/>
      <c r="AH48" s="208"/>
      <c r="AI48" s="208"/>
      <c r="AJ48" s="209"/>
      <c r="AK48" s="207"/>
      <c r="AL48" s="208"/>
      <c r="AM48" s="208"/>
      <c r="AN48" s="209"/>
      <c r="AO48" s="207"/>
      <c r="AP48" s="208"/>
      <c r="AQ48" s="208"/>
      <c r="AR48" s="209"/>
      <c r="AS48" s="207"/>
      <c r="AT48" s="208"/>
      <c r="AU48" s="208"/>
      <c r="AV48" s="209"/>
      <c r="AW48" s="207"/>
      <c r="AX48" s="208"/>
      <c r="AY48" s="208"/>
      <c r="AZ48" s="209"/>
      <c r="BA48" s="207"/>
      <c r="BB48" s="208"/>
      <c r="BC48" s="208"/>
      <c r="BD48" s="209"/>
      <c r="BE48" s="240"/>
      <c r="BF48" s="241"/>
      <c r="BG48" s="241"/>
      <c r="BH48" s="242"/>
    </row>
    <row r="49" spans="1:60" ht="12.75" customHeight="1">
      <c r="A49" s="216"/>
      <c r="B49" s="217"/>
      <c r="C49" s="218"/>
      <c r="D49" s="217"/>
      <c r="E49" s="230"/>
      <c r="F49" s="231"/>
      <c r="G49" s="231"/>
      <c r="H49" s="232"/>
      <c r="I49" s="230"/>
      <c r="J49" s="231"/>
      <c r="K49" s="231"/>
      <c r="L49" s="232"/>
      <c r="M49" s="230"/>
      <c r="N49" s="231"/>
      <c r="O49" s="231"/>
      <c r="P49" s="232"/>
      <c r="Q49" s="213"/>
      <c r="R49" s="214"/>
      <c r="S49" s="214"/>
      <c r="T49" s="215"/>
      <c r="U49" s="213"/>
      <c r="V49" s="214"/>
      <c r="W49" s="214"/>
      <c r="X49" s="215"/>
      <c r="Y49" s="213"/>
      <c r="Z49" s="214"/>
      <c r="AA49" s="214"/>
      <c r="AB49" s="215"/>
      <c r="AC49" s="207"/>
      <c r="AD49" s="208"/>
      <c r="AE49" s="208"/>
      <c r="AF49" s="209"/>
      <c r="AG49" s="207"/>
      <c r="AH49" s="208"/>
      <c r="AI49" s="208"/>
      <c r="AJ49" s="209"/>
      <c r="AK49" s="207"/>
      <c r="AL49" s="208"/>
      <c r="AM49" s="208"/>
      <c r="AN49" s="209"/>
      <c r="AO49" s="207"/>
      <c r="AP49" s="208"/>
      <c r="AQ49" s="208"/>
      <c r="AR49" s="209"/>
      <c r="AS49" s="207"/>
      <c r="AT49" s="208"/>
      <c r="AU49" s="208"/>
      <c r="AV49" s="209"/>
      <c r="AW49" s="207"/>
      <c r="AX49" s="208"/>
      <c r="AY49" s="208"/>
      <c r="AZ49" s="209"/>
      <c r="BA49" s="207"/>
      <c r="BB49" s="208"/>
      <c r="BC49" s="208"/>
      <c r="BD49" s="209"/>
      <c r="BE49" s="243"/>
      <c r="BF49" s="244"/>
      <c r="BG49" s="244"/>
      <c r="BH49" s="245"/>
    </row>
    <row r="50" spans="1:60" ht="12.75" customHeight="1">
      <c r="A50" s="219" t="s">
        <v>153</v>
      </c>
      <c r="B50" s="220"/>
      <c r="C50" s="220"/>
      <c r="D50" s="221"/>
      <c r="E50" s="227">
        <f>SUM(E26:H49)</f>
        <v>0</v>
      </c>
      <c r="F50" s="228"/>
      <c r="G50" s="228"/>
      <c r="H50" s="229"/>
      <c r="I50" s="227">
        <f t="shared" ref="I50" si="0">SUM(I26:L49)</f>
        <v>0</v>
      </c>
      <c r="J50" s="228"/>
      <c r="K50" s="228"/>
      <c r="L50" s="229"/>
      <c r="M50" s="227">
        <f t="shared" ref="M50" si="1">SUM(M26:P49)</f>
        <v>0</v>
      </c>
      <c r="N50" s="228"/>
      <c r="O50" s="228"/>
      <c r="P50" s="229"/>
      <c r="Q50" s="213">
        <f t="shared" ref="Q50" si="2">SUM(Q26:T49)</f>
        <v>0</v>
      </c>
      <c r="R50" s="214"/>
      <c r="S50" s="214"/>
      <c r="T50" s="215"/>
      <c r="U50" s="213">
        <f>SUM(U26:X49)</f>
        <v>0</v>
      </c>
      <c r="V50" s="214"/>
      <c r="W50" s="214"/>
      <c r="X50" s="215"/>
      <c r="Y50" s="213">
        <f>SUM(Y26:AB49)</f>
        <v>0</v>
      </c>
      <c r="Z50" s="214"/>
      <c r="AA50" s="214"/>
      <c r="AB50" s="215"/>
      <c r="AC50" s="213">
        <f>SUM(AC26:AF49)</f>
        <v>0</v>
      </c>
      <c r="AD50" s="214"/>
      <c r="AE50" s="214"/>
      <c r="AF50" s="215"/>
      <c r="AG50" s="207"/>
      <c r="AH50" s="208"/>
      <c r="AI50" s="208"/>
      <c r="AJ50" s="209"/>
      <c r="AK50" s="207"/>
      <c r="AL50" s="208"/>
      <c r="AM50" s="208"/>
      <c r="AN50" s="209"/>
      <c r="AO50" s="207"/>
      <c r="AP50" s="208"/>
      <c r="AQ50" s="208"/>
      <c r="AR50" s="209"/>
      <c r="AS50" s="207"/>
      <c r="AT50" s="208"/>
      <c r="AU50" s="208"/>
      <c r="AV50" s="209"/>
      <c r="AW50" s="207"/>
      <c r="AX50" s="208"/>
      <c r="AY50" s="208"/>
      <c r="AZ50" s="209"/>
      <c r="BA50" s="207"/>
      <c r="BB50" s="208"/>
      <c r="BC50" s="208"/>
      <c r="BD50" s="209"/>
      <c r="BE50" s="240"/>
      <c r="BF50" s="241"/>
      <c r="BG50" s="241"/>
      <c r="BH50" s="242"/>
    </row>
    <row r="51" spans="1:60" ht="12.75" customHeight="1">
      <c r="A51" s="222"/>
      <c r="B51" s="223"/>
      <c r="C51" s="223"/>
      <c r="D51" s="224"/>
      <c r="E51" s="236"/>
      <c r="F51" s="237"/>
      <c r="G51" s="237"/>
      <c r="H51" s="238"/>
      <c r="I51" s="236"/>
      <c r="J51" s="237"/>
      <c r="K51" s="237"/>
      <c r="L51" s="238"/>
      <c r="M51" s="236"/>
      <c r="N51" s="237"/>
      <c r="O51" s="237"/>
      <c r="P51" s="238"/>
      <c r="Q51" s="248"/>
      <c r="R51" s="249"/>
      <c r="S51" s="249"/>
      <c r="T51" s="250"/>
      <c r="U51" s="248"/>
      <c r="V51" s="249"/>
      <c r="W51" s="249"/>
      <c r="X51" s="250"/>
      <c r="Y51" s="248"/>
      <c r="Z51" s="249"/>
      <c r="AA51" s="249"/>
      <c r="AB51" s="250"/>
      <c r="AC51" s="248"/>
      <c r="AD51" s="249"/>
      <c r="AE51" s="249"/>
      <c r="AF51" s="250"/>
      <c r="AG51" s="210"/>
      <c r="AH51" s="211"/>
      <c r="AI51" s="211"/>
      <c r="AJ51" s="212"/>
      <c r="AK51" s="210"/>
      <c r="AL51" s="211"/>
      <c r="AM51" s="211"/>
      <c r="AN51" s="212"/>
      <c r="AO51" s="210"/>
      <c r="AP51" s="211"/>
      <c r="AQ51" s="211"/>
      <c r="AR51" s="212"/>
      <c r="AS51" s="210"/>
      <c r="AT51" s="211"/>
      <c r="AU51" s="211"/>
      <c r="AV51" s="212"/>
      <c r="AW51" s="210"/>
      <c r="AX51" s="211"/>
      <c r="AY51" s="211"/>
      <c r="AZ51" s="212"/>
      <c r="BA51" s="210"/>
      <c r="BB51" s="211"/>
      <c r="BC51" s="211"/>
      <c r="BD51" s="212"/>
      <c r="BE51" s="266"/>
      <c r="BF51" s="267"/>
      <c r="BG51" s="267"/>
      <c r="BH51" s="268"/>
    </row>
    <row r="52" spans="1:60" ht="24" customHeight="1">
      <c r="A52" s="368" t="s">
        <v>155</v>
      </c>
      <c r="B52" s="369"/>
      <c r="C52" s="369"/>
      <c r="D52" s="369"/>
      <c r="E52" s="233">
        <f>E24+E50</f>
        <v>0</v>
      </c>
      <c r="F52" s="234"/>
      <c r="G52" s="234"/>
      <c r="H52" s="235"/>
      <c r="I52" s="233">
        <f t="shared" ref="I52" si="3">I24+I50</f>
        <v>0</v>
      </c>
      <c r="J52" s="234"/>
      <c r="K52" s="234"/>
      <c r="L52" s="235"/>
      <c r="M52" s="233">
        <f>M24+M50</f>
        <v>0</v>
      </c>
      <c r="N52" s="234"/>
      <c r="O52" s="234"/>
      <c r="P52" s="235"/>
      <c r="Q52" s="239">
        <f t="shared" ref="Q52" si="4">Q24+Q50</f>
        <v>0</v>
      </c>
      <c r="R52" s="239"/>
      <c r="S52" s="239"/>
      <c r="T52" s="239"/>
      <c r="U52" s="239">
        <f t="shared" ref="U52" si="5">U24+U50</f>
        <v>0</v>
      </c>
      <c r="V52" s="239"/>
      <c r="W52" s="239"/>
      <c r="X52" s="239"/>
      <c r="Y52" s="239">
        <f>Y24+Y50</f>
        <v>0</v>
      </c>
      <c r="Z52" s="239"/>
      <c r="AA52" s="239"/>
      <c r="AB52" s="239"/>
      <c r="AC52" s="239">
        <f>AC24+AC50</f>
        <v>0</v>
      </c>
      <c r="AD52" s="239"/>
      <c r="AE52" s="239"/>
      <c r="AF52" s="239"/>
      <c r="AG52" s="246"/>
      <c r="AH52" s="247"/>
      <c r="AI52" s="247"/>
      <c r="AJ52" s="247"/>
      <c r="AK52" s="246"/>
      <c r="AL52" s="247"/>
      <c r="AM52" s="247"/>
      <c r="AN52" s="247"/>
      <c r="AO52" s="246"/>
      <c r="AP52" s="247"/>
      <c r="AQ52" s="247"/>
      <c r="AR52" s="247"/>
      <c r="AS52" s="246"/>
      <c r="AT52" s="247"/>
      <c r="AU52" s="247"/>
      <c r="AV52" s="247"/>
      <c r="AW52" s="246"/>
      <c r="AX52" s="247"/>
      <c r="AY52" s="247"/>
      <c r="AZ52" s="247"/>
      <c r="BA52" s="246"/>
      <c r="BB52" s="247"/>
      <c r="BC52" s="247"/>
      <c r="BD52" s="247"/>
      <c r="BE52" s="251"/>
      <c r="BF52" s="252"/>
      <c r="BG52" s="252"/>
      <c r="BH52" s="253"/>
    </row>
    <row r="53" spans="1:60" ht="15.75" thickBot="1">
      <c r="A53" s="225" t="s">
        <v>169</v>
      </c>
      <c r="B53" s="226"/>
      <c r="C53" s="226"/>
      <c r="D53" s="226"/>
      <c r="E53" s="226"/>
      <c r="F53" s="226"/>
      <c r="G53" s="226"/>
      <c r="H53" s="226"/>
      <c r="I53" s="226"/>
      <c r="J53" s="226"/>
      <c r="K53" s="226"/>
      <c r="L53" s="226"/>
      <c r="M53" s="226"/>
      <c r="N53" s="226"/>
      <c r="O53" s="226"/>
      <c r="P53" s="226"/>
      <c r="Q53" s="226"/>
      <c r="R53" s="226"/>
      <c r="S53" s="226"/>
      <c r="T53" s="226"/>
      <c r="U53" s="226" t="s">
        <v>102</v>
      </c>
      <c r="V53" s="226"/>
      <c r="W53" s="226"/>
      <c r="X53" s="226"/>
      <c r="Y53" s="226"/>
      <c r="Z53" s="226"/>
      <c r="AA53" s="226"/>
      <c r="AB53" s="226"/>
      <c r="AC53" s="226"/>
      <c r="AD53" s="226"/>
      <c r="AE53" s="226"/>
      <c r="AF53" s="226"/>
      <c r="AG53" s="226"/>
      <c r="AH53" s="226"/>
      <c r="AI53" s="226"/>
      <c r="AJ53" s="226"/>
      <c r="AK53" s="226"/>
      <c r="AL53" s="226"/>
      <c r="AM53" s="226"/>
      <c r="AN53" s="226"/>
      <c r="AO53" s="226" t="s">
        <v>13</v>
      </c>
      <c r="AP53" s="226"/>
      <c r="AQ53" s="226"/>
      <c r="AR53" s="226"/>
      <c r="AS53" s="226"/>
      <c r="AT53" s="226"/>
      <c r="AU53" s="226"/>
      <c r="AV53" s="226"/>
      <c r="AW53" s="226"/>
      <c r="AX53" s="226"/>
      <c r="AY53" s="226"/>
      <c r="AZ53" s="226"/>
      <c r="BA53" s="226"/>
      <c r="BB53" s="226"/>
      <c r="BC53" s="226"/>
      <c r="BD53" s="226"/>
      <c r="BE53" s="226"/>
      <c r="BF53" s="226"/>
      <c r="BG53" s="226"/>
      <c r="BH53" s="265"/>
    </row>
    <row r="54" spans="1:60">
      <c r="A54" s="204">
        <f>Bilgiler!$D$14</f>
        <v>0</v>
      </c>
      <c r="B54" s="205"/>
      <c r="C54" s="205"/>
      <c r="D54" s="205"/>
      <c r="E54" s="205"/>
      <c r="F54" s="205"/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6"/>
      <c r="U54" s="204"/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205"/>
      <c r="AN54" s="206"/>
      <c r="AO54" s="353">
        <f>Bilgiler!$D$3</f>
        <v>0</v>
      </c>
      <c r="AP54" s="354"/>
      <c r="AQ54" s="354"/>
      <c r="AR54" s="354"/>
      <c r="AS54" s="354"/>
      <c r="AT54" s="354"/>
      <c r="AU54" s="354"/>
      <c r="AV54" s="354"/>
      <c r="AW54" s="354"/>
      <c r="AX54" s="354"/>
      <c r="AY54" s="354"/>
      <c r="AZ54" s="354"/>
      <c r="BA54" s="354"/>
      <c r="BB54" s="354"/>
      <c r="BC54" s="354"/>
      <c r="BD54" s="354"/>
      <c r="BE54" s="354"/>
      <c r="BF54" s="354"/>
      <c r="BG54" s="354"/>
      <c r="BH54" s="355"/>
    </row>
    <row r="55" spans="1:60">
      <c r="A55" s="78">
        <f>Bilgiler!$D$15</f>
        <v>0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96"/>
      <c r="U55" s="350"/>
      <c r="V55" s="351"/>
      <c r="W55" s="351"/>
      <c r="X55" s="351"/>
      <c r="Y55" s="351"/>
      <c r="Z55" s="351"/>
      <c r="AA55" s="351"/>
      <c r="AB55" s="351"/>
      <c r="AC55" s="351"/>
      <c r="AD55" s="351"/>
      <c r="AE55" s="351"/>
      <c r="AF55" s="351"/>
      <c r="AG55" s="351"/>
      <c r="AH55" s="351"/>
      <c r="AI55" s="351"/>
      <c r="AJ55" s="351"/>
      <c r="AK55" s="351"/>
      <c r="AL55" s="351"/>
      <c r="AM55" s="351"/>
      <c r="AN55" s="352"/>
      <c r="AO55" s="356"/>
      <c r="AP55" s="357"/>
      <c r="AQ55" s="357"/>
      <c r="AR55" s="357"/>
      <c r="AS55" s="357"/>
      <c r="AT55" s="357"/>
      <c r="AU55" s="357"/>
      <c r="AV55" s="357"/>
      <c r="AW55" s="357"/>
      <c r="AX55" s="357"/>
      <c r="AY55" s="357"/>
      <c r="AZ55" s="357"/>
      <c r="BA55" s="357"/>
      <c r="BB55" s="357"/>
      <c r="BC55" s="357"/>
      <c r="BD55" s="357"/>
      <c r="BE55" s="357"/>
      <c r="BF55" s="357"/>
      <c r="BG55" s="357"/>
      <c r="BH55" s="358"/>
    </row>
    <row r="56" spans="1:60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96"/>
      <c r="U56" s="350"/>
      <c r="V56" s="351"/>
      <c r="W56" s="351"/>
      <c r="X56" s="351"/>
      <c r="Y56" s="351"/>
      <c r="Z56" s="351"/>
      <c r="AA56" s="351"/>
      <c r="AB56" s="351"/>
      <c r="AC56" s="351"/>
      <c r="AD56" s="351"/>
      <c r="AE56" s="351"/>
      <c r="AF56" s="351"/>
      <c r="AG56" s="351"/>
      <c r="AH56" s="351"/>
      <c r="AI56" s="351"/>
      <c r="AJ56" s="351"/>
      <c r="AK56" s="351"/>
      <c r="AL56" s="351"/>
      <c r="AM56" s="351"/>
      <c r="AN56" s="352"/>
      <c r="AO56" s="356"/>
      <c r="AP56" s="357"/>
      <c r="AQ56" s="357"/>
      <c r="AR56" s="357"/>
      <c r="AS56" s="357"/>
      <c r="AT56" s="357"/>
      <c r="AU56" s="357"/>
      <c r="AV56" s="357"/>
      <c r="AW56" s="357"/>
      <c r="AX56" s="357"/>
      <c r="AY56" s="357"/>
      <c r="AZ56" s="357"/>
      <c r="BA56" s="357"/>
      <c r="BB56" s="357"/>
      <c r="BC56" s="357"/>
      <c r="BD56" s="357"/>
      <c r="BE56" s="357"/>
      <c r="BF56" s="357"/>
      <c r="BG56" s="357"/>
      <c r="BH56" s="358"/>
    </row>
    <row r="57" spans="1:60">
      <c r="A57" s="95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97"/>
      <c r="U57" s="362"/>
      <c r="V57" s="363"/>
      <c r="W57" s="363"/>
      <c r="X57" s="363"/>
      <c r="Y57" s="363"/>
      <c r="Z57" s="363"/>
      <c r="AA57" s="363"/>
      <c r="AB57" s="363"/>
      <c r="AC57" s="363"/>
      <c r="AD57" s="363"/>
      <c r="AE57" s="363"/>
      <c r="AF57" s="363"/>
      <c r="AG57" s="363"/>
      <c r="AH57" s="363"/>
      <c r="AI57" s="363"/>
      <c r="AJ57" s="363"/>
      <c r="AK57" s="363"/>
      <c r="AL57" s="363"/>
      <c r="AM57" s="363"/>
      <c r="AN57" s="364"/>
      <c r="AO57" s="356"/>
      <c r="AP57" s="357"/>
      <c r="AQ57" s="357"/>
      <c r="AR57" s="357"/>
      <c r="AS57" s="357"/>
      <c r="AT57" s="357"/>
      <c r="AU57" s="357"/>
      <c r="AV57" s="357"/>
      <c r="AW57" s="357"/>
      <c r="AX57" s="357"/>
      <c r="AY57" s="357"/>
      <c r="AZ57" s="357"/>
      <c r="BA57" s="357"/>
      <c r="BB57" s="357"/>
      <c r="BC57" s="357"/>
      <c r="BD57" s="357"/>
      <c r="BE57" s="357"/>
      <c r="BF57" s="357"/>
      <c r="BG57" s="357"/>
      <c r="BH57" s="358"/>
    </row>
    <row r="58" spans="1:60">
      <c r="A58" s="78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97"/>
      <c r="U58" s="362"/>
      <c r="V58" s="363"/>
      <c r="W58" s="363"/>
      <c r="X58" s="363"/>
      <c r="Y58" s="363"/>
      <c r="Z58" s="363"/>
      <c r="AA58" s="363"/>
      <c r="AB58" s="363"/>
      <c r="AC58" s="363"/>
      <c r="AD58" s="363"/>
      <c r="AE58" s="363"/>
      <c r="AF58" s="363"/>
      <c r="AG58" s="363"/>
      <c r="AH58" s="363"/>
      <c r="AI58" s="363"/>
      <c r="AJ58" s="363"/>
      <c r="AK58" s="363"/>
      <c r="AL58" s="363"/>
      <c r="AM58" s="363"/>
      <c r="AN58" s="364"/>
      <c r="AO58" s="356"/>
      <c r="AP58" s="357"/>
      <c r="AQ58" s="357"/>
      <c r="AR58" s="357"/>
      <c r="AS58" s="357"/>
      <c r="AT58" s="357"/>
      <c r="AU58" s="357"/>
      <c r="AV58" s="357"/>
      <c r="AW58" s="357"/>
      <c r="AX58" s="357"/>
      <c r="AY58" s="357"/>
      <c r="AZ58" s="357"/>
      <c r="BA58" s="357"/>
      <c r="BB58" s="357"/>
      <c r="BC58" s="357"/>
      <c r="BD58" s="357"/>
      <c r="BE58" s="357"/>
      <c r="BF58" s="357"/>
      <c r="BG58" s="357"/>
      <c r="BH58" s="358"/>
    </row>
    <row r="59" spans="1:60" ht="15.75" thickBo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98"/>
      <c r="U59" s="365"/>
      <c r="V59" s="366"/>
      <c r="W59" s="366"/>
      <c r="X59" s="366"/>
      <c r="Y59" s="366"/>
      <c r="Z59" s="366"/>
      <c r="AA59" s="366"/>
      <c r="AB59" s="366"/>
      <c r="AC59" s="366"/>
      <c r="AD59" s="366"/>
      <c r="AE59" s="366"/>
      <c r="AF59" s="366"/>
      <c r="AG59" s="366"/>
      <c r="AH59" s="366"/>
      <c r="AI59" s="366"/>
      <c r="AJ59" s="366"/>
      <c r="AK59" s="366"/>
      <c r="AL59" s="366"/>
      <c r="AM59" s="366"/>
      <c r="AN59" s="367"/>
      <c r="AO59" s="359"/>
      <c r="AP59" s="360"/>
      <c r="AQ59" s="360"/>
      <c r="AR59" s="360"/>
      <c r="AS59" s="360"/>
      <c r="AT59" s="360"/>
      <c r="AU59" s="360"/>
      <c r="AV59" s="360"/>
      <c r="AW59" s="360"/>
      <c r="AX59" s="360"/>
      <c r="AY59" s="360"/>
      <c r="AZ59" s="360"/>
      <c r="BA59" s="360"/>
      <c r="BB59" s="360"/>
      <c r="BC59" s="360"/>
      <c r="BD59" s="360"/>
      <c r="BE59" s="360"/>
      <c r="BF59" s="360"/>
      <c r="BG59" s="360"/>
      <c r="BH59" s="361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C12" sqref="C12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7"/>
      <c r="B1" s="388"/>
      <c r="C1" s="382">
        <f>Bilgiler!D2</f>
        <v>0</v>
      </c>
      <c r="D1" s="382"/>
      <c r="E1" s="382"/>
      <c r="F1" s="382"/>
      <c r="G1" s="383"/>
    </row>
    <row r="2" spans="1:7" ht="44.45" customHeight="1">
      <c r="A2" s="389"/>
      <c r="B2" s="390"/>
      <c r="C2" s="384"/>
      <c r="D2" s="384"/>
      <c r="E2" s="384"/>
      <c r="F2" s="384"/>
      <c r="G2" s="385"/>
    </row>
    <row r="3" spans="1:7" s="34" customFormat="1" ht="30.6" customHeight="1">
      <c r="A3" s="368" t="s">
        <v>117</v>
      </c>
      <c r="B3" s="369"/>
      <c r="C3" s="369"/>
      <c r="D3" s="369"/>
      <c r="E3" s="369"/>
      <c r="F3" s="369"/>
      <c r="G3" s="386"/>
    </row>
    <row r="4" spans="1:7" s="34" customFormat="1" ht="27" customHeight="1">
      <c r="A4" s="82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3" t="s">
        <v>121</v>
      </c>
    </row>
    <row r="5" spans="1:7" s="34" customFormat="1" ht="27" customHeight="1">
      <c r="A5" s="84">
        <v>1</v>
      </c>
      <c r="B5" s="75" t="s">
        <v>159</v>
      </c>
      <c r="C5" s="72" t="s">
        <v>175</v>
      </c>
      <c r="D5" s="72" t="s">
        <v>103</v>
      </c>
      <c r="E5" s="68">
        <v>1000000</v>
      </c>
      <c r="F5" s="67">
        <v>40</v>
      </c>
      <c r="G5" s="85">
        <f>F5*E5</f>
        <v>40000000</v>
      </c>
    </row>
    <row r="6" spans="1:7" s="34" customFormat="1" ht="27" customHeight="1">
      <c r="A6" s="84">
        <v>2</v>
      </c>
      <c r="B6" s="75" t="s">
        <v>176</v>
      </c>
      <c r="C6" s="72" t="s">
        <v>177</v>
      </c>
      <c r="D6" s="72" t="s">
        <v>103</v>
      </c>
      <c r="E6" s="68">
        <v>50000</v>
      </c>
      <c r="F6" s="67">
        <v>20</v>
      </c>
      <c r="G6" s="85">
        <f t="shared" ref="G6:G11" si="0">F6*E6</f>
        <v>1000000</v>
      </c>
    </row>
    <row r="7" spans="1:7" s="34" customFormat="1" ht="27" customHeight="1">
      <c r="A7" s="84">
        <v>3</v>
      </c>
      <c r="B7" s="75" t="s">
        <v>178</v>
      </c>
      <c r="C7" s="72" t="s">
        <v>187</v>
      </c>
      <c r="D7" s="72" t="s">
        <v>103</v>
      </c>
      <c r="E7" s="68">
        <v>20000</v>
      </c>
      <c r="F7" s="67">
        <v>50</v>
      </c>
      <c r="G7" s="85">
        <f t="shared" si="0"/>
        <v>1000000</v>
      </c>
    </row>
    <row r="8" spans="1:7" s="34" customFormat="1" ht="27" customHeight="1">
      <c r="A8" s="84">
        <v>4</v>
      </c>
      <c r="B8" s="75" t="s">
        <v>179</v>
      </c>
      <c r="C8" s="72" t="s">
        <v>188</v>
      </c>
      <c r="D8" s="72" t="s">
        <v>103</v>
      </c>
      <c r="E8" s="68">
        <v>40000</v>
      </c>
      <c r="F8" s="67">
        <v>280</v>
      </c>
      <c r="G8" s="85">
        <f t="shared" si="0"/>
        <v>11200000</v>
      </c>
    </row>
    <row r="9" spans="1:7" s="34" customFormat="1" ht="27" customHeight="1">
      <c r="A9" s="84">
        <v>5</v>
      </c>
      <c r="B9" s="75" t="s">
        <v>180</v>
      </c>
      <c r="C9" s="72" t="s">
        <v>189</v>
      </c>
      <c r="D9" s="72" t="s">
        <v>103</v>
      </c>
      <c r="E9" s="68">
        <v>140000</v>
      </c>
      <c r="F9" s="67">
        <v>200</v>
      </c>
      <c r="G9" s="85">
        <f t="shared" si="0"/>
        <v>28000000</v>
      </c>
    </row>
    <row r="10" spans="1:7" s="34" customFormat="1" ht="27" customHeight="1">
      <c r="A10" s="84">
        <v>6</v>
      </c>
      <c r="B10" s="75" t="s">
        <v>181</v>
      </c>
      <c r="C10" s="72" t="s">
        <v>190</v>
      </c>
      <c r="D10" s="72" t="s">
        <v>103</v>
      </c>
      <c r="E10" s="68">
        <v>15000</v>
      </c>
      <c r="F10" s="67">
        <v>1350</v>
      </c>
      <c r="G10" s="85">
        <f t="shared" si="0"/>
        <v>20250000</v>
      </c>
    </row>
    <row r="11" spans="1:7" s="34" customFormat="1" ht="27" customHeight="1">
      <c r="A11" s="84">
        <v>7</v>
      </c>
      <c r="B11" s="75" t="s">
        <v>182</v>
      </c>
      <c r="C11" s="72" t="s">
        <v>191</v>
      </c>
      <c r="D11" s="72" t="s">
        <v>103</v>
      </c>
      <c r="E11" s="66">
        <v>7500</v>
      </c>
      <c r="F11" s="67">
        <v>1800</v>
      </c>
      <c r="G11" s="85">
        <f t="shared" si="0"/>
        <v>13500000</v>
      </c>
    </row>
    <row r="12" spans="1:7" s="34" customFormat="1" ht="27" customHeight="1">
      <c r="A12" s="84"/>
      <c r="B12" s="72"/>
      <c r="C12" s="69" t="s">
        <v>154</v>
      </c>
      <c r="D12" s="73"/>
      <c r="E12" s="69"/>
      <c r="F12" s="70"/>
      <c r="G12" s="86">
        <f>SUM(G5:G11)</f>
        <v>114950000</v>
      </c>
    </row>
    <row r="13" spans="1:7" s="34" customFormat="1" ht="24.95" customHeight="1">
      <c r="A13" s="84"/>
      <c r="B13" s="72"/>
      <c r="C13" s="72"/>
      <c r="D13" s="72"/>
      <c r="E13" s="66"/>
      <c r="F13" s="67"/>
      <c r="G13" s="85"/>
    </row>
    <row r="14" spans="1:7" s="34" customFormat="1" ht="24.95" customHeight="1">
      <c r="A14" s="84"/>
      <c r="B14" s="72"/>
      <c r="C14" s="72"/>
      <c r="D14" s="72"/>
      <c r="E14" s="66"/>
      <c r="F14" s="67"/>
      <c r="G14" s="85"/>
    </row>
    <row r="15" spans="1:7" s="34" customFormat="1" ht="24.95" customHeight="1">
      <c r="A15" s="84"/>
      <c r="B15" s="72"/>
      <c r="C15" s="72"/>
      <c r="D15" s="72"/>
      <c r="E15" s="66"/>
      <c r="F15" s="67"/>
      <c r="G15" s="85"/>
    </row>
    <row r="16" spans="1:7">
      <c r="A16" s="84"/>
      <c r="B16" s="64"/>
      <c r="C16" s="64"/>
      <c r="D16" s="64"/>
      <c r="E16" s="66"/>
      <c r="F16" s="67"/>
      <c r="G16" s="85"/>
    </row>
    <row r="17" spans="1:7">
      <c r="A17" s="84"/>
      <c r="B17" s="64"/>
      <c r="C17" s="64"/>
      <c r="D17" s="64"/>
      <c r="E17" s="66"/>
      <c r="F17" s="67"/>
      <c r="G17" s="85"/>
    </row>
    <row r="18" spans="1:7">
      <c r="A18" s="84"/>
      <c r="B18" s="64"/>
      <c r="C18" s="64"/>
      <c r="D18" s="64"/>
      <c r="E18" s="66"/>
      <c r="F18" s="67"/>
      <c r="G18" s="85"/>
    </row>
    <row r="19" spans="1:7">
      <c r="A19" s="84"/>
      <c r="B19" s="64"/>
      <c r="C19" s="64"/>
      <c r="D19" s="64"/>
      <c r="E19" s="66"/>
      <c r="F19" s="67"/>
      <c r="G19" s="85"/>
    </row>
    <row r="20" spans="1:7">
      <c r="A20" s="84"/>
      <c r="B20" s="64"/>
      <c r="C20" s="64"/>
      <c r="D20" s="64"/>
      <c r="E20" s="66"/>
      <c r="F20" s="67"/>
      <c r="G20" s="85"/>
    </row>
    <row r="21" spans="1:7">
      <c r="A21" s="84"/>
      <c r="B21" s="64"/>
      <c r="C21" s="64"/>
      <c r="D21" s="64"/>
      <c r="E21" s="66"/>
      <c r="F21" s="67"/>
      <c r="G21" s="85"/>
    </row>
    <row r="22" spans="1:7">
      <c r="A22" s="84"/>
      <c r="B22" s="64"/>
      <c r="C22" s="64"/>
      <c r="D22" s="64"/>
      <c r="E22" s="66"/>
      <c r="F22" s="67"/>
      <c r="G22" s="85"/>
    </row>
    <row r="23" spans="1:7">
      <c r="A23" s="84"/>
      <c r="B23" s="64"/>
      <c r="C23" s="64"/>
      <c r="D23" s="64"/>
      <c r="E23" s="66"/>
      <c r="F23" s="67"/>
      <c r="G23" s="85"/>
    </row>
    <row r="24" spans="1:7">
      <c r="A24" s="84"/>
      <c r="B24" s="64"/>
      <c r="C24" s="64"/>
      <c r="D24" s="64"/>
      <c r="E24" s="66"/>
      <c r="F24" s="67"/>
      <c r="G24" s="85"/>
    </row>
    <row r="25" spans="1:7">
      <c r="A25" s="84"/>
      <c r="B25" s="64"/>
      <c r="C25" s="64"/>
      <c r="D25" s="64"/>
      <c r="E25" s="66"/>
      <c r="F25" s="67"/>
      <c r="G25" s="85"/>
    </row>
    <row r="26" spans="1:7">
      <c r="A26" s="84"/>
      <c r="B26" s="64"/>
      <c r="C26" s="64"/>
      <c r="D26" s="64"/>
      <c r="E26" s="66"/>
      <c r="F26" s="67"/>
      <c r="G26" s="85"/>
    </row>
    <row r="27" spans="1:7">
      <c r="A27" s="84"/>
      <c r="B27" s="64"/>
      <c r="C27" s="64"/>
      <c r="D27" s="64"/>
      <c r="E27" s="66"/>
      <c r="F27" s="67"/>
      <c r="G27" s="85"/>
    </row>
    <row r="28" spans="1:7">
      <c r="A28" s="84"/>
      <c r="B28" s="64"/>
      <c r="C28" s="64"/>
      <c r="D28" s="64"/>
      <c r="E28" s="66"/>
      <c r="F28" s="67"/>
      <c r="G28" s="85"/>
    </row>
    <row r="29" spans="1:7">
      <c r="A29" s="84"/>
      <c r="B29" s="64"/>
      <c r="C29" s="64"/>
      <c r="D29" s="64"/>
      <c r="E29" s="65"/>
      <c r="F29" s="67"/>
      <c r="G29" s="85"/>
    </row>
    <row r="30" spans="1:7">
      <c r="A30" s="87"/>
      <c r="B30" s="64"/>
      <c r="C30" s="64"/>
      <c r="D30" s="64"/>
      <c r="E30" s="65"/>
      <c r="F30" s="67"/>
      <c r="G30" s="85"/>
    </row>
    <row r="31" spans="1:7">
      <c r="A31" s="87"/>
      <c r="B31" s="64"/>
      <c r="C31" s="64"/>
      <c r="D31" s="64"/>
      <c r="E31" s="66"/>
      <c r="F31" s="67"/>
      <c r="G31" s="85"/>
    </row>
    <row r="32" spans="1:7">
      <c r="A32" s="87"/>
      <c r="B32" s="64"/>
      <c r="C32" s="64"/>
      <c r="D32" s="64"/>
      <c r="E32" s="66"/>
      <c r="F32" s="67"/>
      <c r="G32" s="85"/>
    </row>
    <row r="33" spans="1:7">
      <c r="A33" s="87"/>
      <c r="B33" s="64"/>
      <c r="C33" s="64"/>
      <c r="D33" s="64"/>
      <c r="E33" s="66"/>
      <c r="F33" s="67"/>
      <c r="G33" s="85"/>
    </row>
    <row r="34" spans="1:7">
      <c r="A34" s="87"/>
      <c r="B34" s="64"/>
      <c r="C34" s="64"/>
      <c r="D34" s="64"/>
      <c r="E34" s="66"/>
      <c r="F34" s="67"/>
      <c r="G34" s="85"/>
    </row>
    <row r="35" spans="1:7" ht="15.75" thickBot="1">
      <c r="A35" s="88"/>
      <c r="B35" s="89"/>
      <c r="C35" s="90"/>
      <c r="D35" s="89"/>
      <c r="E35" s="91"/>
      <c r="F35" s="92"/>
      <c r="G35" s="93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6"/>
      <c r="B1" s="157"/>
      <c r="C1" s="391">
        <f>Bilgiler!D1</f>
        <v>0</v>
      </c>
      <c r="D1" s="391"/>
      <c r="E1" s="391"/>
      <c r="F1" s="391"/>
      <c r="G1" s="391"/>
      <c r="H1" s="391"/>
      <c r="I1" s="391"/>
      <c r="J1" s="392"/>
    </row>
    <row r="2" spans="1:10" ht="15" customHeight="1">
      <c r="A2" s="158"/>
      <c r="B2" s="159"/>
      <c r="C2" s="393"/>
      <c r="D2" s="393"/>
      <c r="E2" s="393"/>
      <c r="F2" s="393"/>
      <c r="G2" s="393"/>
      <c r="H2" s="393"/>
      <c r="I2" s="393"/>
      <c r="J2" s="394"/>
    </row>
    <row r="3" spans="1:10" ht="15" customHeight="1">
      <c r="A3" s="158"/>
      <c r="B3" s="159"/>
      <c r="C3" s="393"/>
      <c r="D3" s="393"/>
      <c r="E3" s="393"/>
      <c r="F3" s="393"/>
      <c r="G3" s="393"/>
      <c r="H3" s="393"/>
      <c r="I3" s="393"/>
      <c r="J3" s="394"/>
    </row>
    <row r="4" spans="1:10" ht="15" customHeight="1">
      <c r="A4" s="158"/>
      <c r="B4" s="159"/>
      <c r="C4" s="393"/>
      <c r="D4" s="393"/>
      <c r="E4" s="393"/>
      <c r="F4" s="393"/>
      <c r="G4" s="393"/>
      <c r="H4" s="393"/>
      <c r="I4" s="393"/>
      <c r="J4" s="394"/>
    </row>
    <row r="5" spans="1:10">
      <c r="A5" s="22"/>
      <c r="C5" s="393"/>
      <c r="D5" s="393"/>
      <c r="E5" s="393"/>
      <c r="F5" s="393"/>
      <c r="G5" s="393"/>
      <c r="H5" s="393"/>
      <c r="I5" s="393"/>
      <c r="J5" s="394"/>
    </row>
    <row r="6" spans="1:10">
      <c r="A6" s="22"/>
      <c r="J6" s="19"/>
    </row>
    <row r="7" spans="1:10">
      <c r="A7" s="407">
        <f>Bilgiler!D2</f>
        <v>0</v>
      </c>
      <c r="B7" s="408"/>
      <c r="C7" s="408"/>
      <c r="D7" s="408"/>
      <c r="E7" s="408"/>
      <c r="F7" s="408"/>
      <c r="G7" s="408"/>
      <c r="H7" s="408"/>
      <c r="I7" s="408"/>
      <c r="J7" s="409"/>
    </row>
    <row r="8" spans="1:10" ht="14.45" customHeight="1">
      <c r="A8" s="407"/>
      <c r="B8" s="408"/>
      <c r="C8" s="408"/>
      <c r="D8" s="408"/>
      <c r="E8" s="408"/>
      <c r="F8" s="408"/>
      <c r="G8" s="408"/>
      <c r="H8" s="408"/>
      <c r="I8" s="408"/>
      <c r="J8" s="409"/>
    </row>
    <row r="9" spans="1:10" ht="15.75" customHeight="1">
      <c r="A9" s="407"/>
      <c r="B9" s="408"/>
      <c r="C9" s="408"/>
      <c r="D9" s="408"/>
      <c r="E9" s="408"/>
      <c r="F9" s="408"/>
      <c r="G9" s="408"/>
      <c r="H9" s="408"/>
      <c r="I9" s="408"/>
      <c r="J9" s="409"/>
    </row>
    <row r="10" spans="1:10" ht="26.25">
      <c r="A10" s="398" t="s">
        <v>80</v>
      </c>
      <c r="B10" s="399"/>
      <c r="C10" s="399"/>
      <c r="D10" s="399"/>
      <c r="E10" s="399"/>
      <c r="F10" s="399"/>
      <c r="G10" s="399"/>
      <c r="H10" s="399"/>
      <c r="I10" s="399"/>
      <c r="J10" s="400"/>
    </row>
    <row r="11" spans="1:10">
      <c r="A11" s="22"/>
      <c r="J11" s="19"/>
    </row>
    <row r="12" spans="1:10">
      <c r="A12" s="22"/>
      <c r="D12" s="397" t="s">
        <v>82</v>
      </c>
      <c r="E12" s="397"/>
      <c r="F12" s="27" t="s">
        <v>81</v>
      </c>
      <c r="G12" s="28">
        <f>Bilgiler!D24</f>
        <v>0</v>
      </c>
      <c r="J12" s="19"/>
    </row>
    <row r="13" spans="1:10" ht="18.75">
      <c r="A13" s="22"/>
      <c r="D13" s="397" t="s">
        <v>83</v>
      </c>
      <c r="E13" s="397"/>
      <c r="F13" s="27" t="s">
        <v>81</v>
      </c>
      <c r="G13" s="29">
        <f>Bilgiler!D12</f>
        <v>0</v>
      </c>
      <c r="J13" s="19"/>
    </row>
    <row r="14" spans="1:10">
      <c r="A14" s="22"/>
      <c r="D14" s="397" t="s">
        <v>84</v>
      </c>
      <c r="E14" s="397"/>
      <c r="F14" s="27" t="s">
        <v>81</v>
      </c>
      <c r="G14" s="155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01">
        <f>Bilgiler!D3</f>
        <v>0</v>
      </c>
      <c r="H16" s="401"/>
      <c r="I16" s="401"/>
      <c r="J16" s="402"/>
    </row>
    <row r="17" spans="1:10">
      <c r="A17" s="22"/>
      <c r="B17" s="38" t="s">
        <v>86</v>
      </c>
      <c r="F17" s="27" t="s">
        <v>81</v>
      </c>
      <c r="G17" s="403">
        <f>Bilgiler!D9</f>
        <v>0</v>
      </c>
      <c r="H17" s="403"/>
      <c r="I17" s="403"/>
      <c r="J17" s="404"/>
    </row>
    <row r="18" spans="1:10">
      <c r="A18" s="22"/>
      <c r="B18" s="38" t="s">
        <v>87</v>
      </c>
      <c r="F18" s="27" t="s">
        <v>81</v>
      </c>
      <c r="G18" s="405" t="str">
        <f>TEXT(Bilgiler!D20,"GG.AA.YYYY")</f>
        <v>00.01.1900</v>
      </c>
      <c r="H18" s="405"/>
      <c r="I18" s="405"/>
      <c r="J18" s="406"/>
    </row>
    <row r="19" spans="1:10">
      <c r="A19" s="22"/>
      <c r="B19" s="38" t="s">
        <v>32</v>
      </c>
      <c r="F19" s="27" t="s">
        <v>81</v>
      </c>
      <c r="G19" s="405" t="str">
        <f>TEXT(Bilgiler!D10,"GG.AA.YYYY")</f>
        <v>00.01.1900</v>
      </c>
      <c r="H19" s="405"/>
      <c r="I19" s="405"/>
      <c r="J19" s="406"/>
    </row>
    <row r="20" spans="1:10">
      <c r="A20" s="22"/>
      <c r="B20" s="38" t="s">
        <v>88</v>
      </c>
      <c r="F20" s="27" t="s">
        <v>81</v>
      </c>
      <c r="G20" s="405" t="str">
        <f>TEXT(Bilgiler!D21,"GG.AA.YYYY")</f>
        <v>00.01.1900</v>
      </c>
      <c r="H20" s="405"/>
      <c r="I20" s="405"/>
      <c r="J20" s="406"/>
    </row>
    <row r="21" spans="1:10">
      <c r="A21" s="22"/>
      <c r="B21" s="38" t="s">
        <v>89</v>
      </c>
      <c r="F21" s="27" t="s">
        <v>81</v>
      </c>
      <c r="G21" s="395">
        <f>Bilgiler!D22</f>
        <v>0</v>
      </c>
      <c r="H21" s="395"/>
      <c r="I21" s="395"/>
      <c r="J21" s="396"/>
    </row>
    <row r="22" spans="1:10">
      <c r="A22" s="22"/>
      <c r="B22" s="39" t="s">
        <v>90</v>
      </c>
      <c r="F22" s="27" t="s">
        <v>81</v>
      </c>
      <c r="G22" s="405" t="str">
        <f>TEXT(Bilgiler!D11,"GG.AA.YYYY")</f>
        <v>00.01.1900</v>
      </c>
      <c r="H22" s="405"/>
      <c r="I22" s="405"/>
      <c r="J22" s="406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10" t="s">
        <v>91</v>
      </c>
      <c r="B27" s="347"/>
      <c r="C27" s="347"/>
      <c r="D27" s="347"/>
      <c r="E27" s="347"/>
      <c r="F27" s="347" t="s">
        <v>92</v>
      </c>
      <c r="G27" s="347"/>
      <c r="H27" s="347"/>
      <c r="I27" s="347"/>
      <c r="J27" s="411"/>
    </row>
    <row r="28" spans="1:10">
      <c r="A28" s="410"/>
      <c r="B28" s="347"/>
      <c r="C28" s="347"/>
      <c r="D28" s="347"/>
      <c r="E28" s="347"/>
      <c r="F28" s="347"/>
      <c r="G28" s="347"/>
      <c r="H28" s="347"/>
      <c r="I28" s="347"/>
      <c r="J28" s="411"/>
    </row>
    <row r="29" spans="1:10">
      <c r="A29" s="412" t="s">
        <v>93</v>
      </c>
      <c r="B29" s="413"/>
      <c r="C29" s="413"/>
      <c r="D29" s="414">
        <f>Bilgiler!D9</f>
        <v>0</v>
      </c>
      <c r="E29" s="414"/>
      <c r="F29" s="415" t="str">
        <f>TEXT(Bilgiler!D10,"gg.aa.yyyy") &amp; " Tarihli Sözleşme"</f>
        <v>00.01.1900 Tarihli Sözleşme</v>
      </c>
      <c r="G29" s="415"/>
      <c r="H29" s="415"/>
      <c r="I29" s="415"/>
      <c r="J29" s="416"/>
    </row>
    <row r="30" spans="1:10">
      <c r="A30" s="412" t="s">
        <v>94</v>
      </c>
      <c r="B30" s="413"/>
      <c r="C30" s="413"/>
      <c r="D30" s="414"/>
      <c r="E30" s="160"/>
      <c r="F30" s="415"/>
      <c r="G30" s="415"/>
      <c r="H30" s="415"/>
      <c r="I30" s="415"/>
      <c r="J30" s="416"/>
    </row>
    <row r="31" spans="1:10">
      <c r="A31" s="412" t="s">
        <v>95</v>
      </c>
      <c r="B31" s="413"/>
      <c r="C31" s="413"/>
      <c r="D31" s="414">
        <f>D29+D30</f>
        <v>0</v>
      </c>
      <c r="E31" s="414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17" t="s">
        <v>96</v>
      </c>
      <c r="B35" s="418"/>
      <c r="C35" s="418"/>
      <c r="D35" s="420"/>
      <c r="E35" s="420"/>
      <c r="F35" s="420"/>
      <c r="G35" s="420"/>
      <c r="H35" s="420"/>
      <c r="I35" s="420"/>
      <c r="J35" s="19"/>
    </row>
    <row r="36" spans="1:10" ht="14.45" customHeight="1">
      <c r="A36" s="32"/>
      <c r="B36" s="33"/>
      <c r="C36" s="36"/>
      <c r="D36" s="420"/>
      <c r="E36" s="420"/>
      <c r="F36" s="420"/>
      <c r="G36" s="420"/>
      <c r="H36" s="420"/>
      <c r="I36" s="420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19" t="s">
        <v>97</v>
      </c>
      <c r="D41" s="419"/>
      <c r="E41" s="419"/>
      <c r="F41" s="37"/>
      <c r="G41" s="421">
        <f>Bilgiler!D11</f>
        <v>0</v>
      </c>
      <c r="H41" s="419"/>
      <c r="J41" s="19"/>
    </row>
    <row r="42" spans="1:10">
      <c r="A42" s="22"/>
      <c r="C42" s="419" t="s">
        <v>98</v>
      </c>
      <c r="D42" s="419"/>
      <c r="E42" s="419"/>
      <c r="F42" s="37"/>
      <c r="G42" s="419"/>
      <c r="H42" s="419"/>
      <c r="J42" s="19"/>
    </row>
    <row r="43" spans="1:10">
      <c r="A43" s="22"/>
      <c r="C43" s="419" t="s">
        <v>99</v>
      </c>
      <c r="D43" s="419"/>
      <c r="E43" s="419"/>
      <c r="F43" s="37"/>
      <c r="G43" s="419"/>
      <c r="H43" s="419"/>
      <c r="J43" s="19"/>
    </row>
    <row r="44" spans="1:10">
      <c r="A44" s="22"/>
      <c r="C44" s="419" t="s">
        <v>100</v>
      </c>
      <c r="D44" s="419"/>
      <c r="E44" s="419"/>
      <c r="F44" s="37"/>
      <c r="G44" s="419"/>
      <c r="H44" s="419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30" sqref="H30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47">
        <f>Bilgiler!D2</f>
        <v>0</v>
      </c>
      <c r="B1" s="448"/>
      <c r="C1" s="448"/>
      <c r="D1" s="449"/>
    </row>
    <row r="2" spans="1:11" ht="22.9" customHeight="1">
      <c r="A2" s="450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51"/>
      <c r="C2" s="451"/>
      <c r="D2" s="452"/>
    </row>
    <row r="3" spans="1:11">
      <c r="A3" s="453" t="s">
        <v>127</v>
      </c>
      <c r="B3" s="454" t="s">
        <v>128</v>
      </c>
      <c r="C3" s="42" t="s">
        <v>162</v>
      </c>
      <c r="D3" s="44">
        <f>Çarşaf!BD19</f>
        <v>0</v>
      </c>
    </row>
    <row r="4" spans="1:11">
      <c r="A4" s="453"/>
      <c r="B4" s="454"/>
      <c r="C4" s="42" t="s">
        <v>163</v>
      </c>
      <c r="D4" s="44">
        <f>Çarşaf!BD14+Çarşaf!BD15+Çarşaf!BD16+Çarşaf!BD17+Çarşaf!BD18+Çarşaf!BD20</f>
        <v>0</v>
      </c>
    </row>
    <row r="5" spans="1:11">
      <c r="A5" s="453"/>
      <c r="B5" s="454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15" t="s">
        <v>130</v>
      </c>
      <c r="C6" s="415"/>
      <c r="D6" s="44">
        <f>'Fiyat Farkı Tutanağı'!F30</f>
        <v>0</v>
      </c>
    </row>
    <row r="7" spans="1:11">
      <c r="A7" s="45" t="s">
        <v>131</v>
      </c>
      <c r="B7" s="415" t="s">
        <v>132</v>
      </c>
      <c r="C7" s="415"/>
      <c r="D7" s="44">
        <f>D5+D6</f>
        <v>0</v>
      </c>
    </row>
    <row r="8" spans="1:11">
      <c r="A8" s="45" t="s">
        <v>134</v>
      </c>
      <c r="B8" s="415" t="s">
        <v>133</v>
      </c>
      <c r="C8" s="415"/>
      <c r="D8" s="44">
        <f>Bilgiler!D23</f>
        <v>0</v>
      </c>
    </row>
    <row r="9" spans="1:11">
      <c r="A9" s="45" t="s">
        <v>137</v>
      </c>
      <c r="B9" s="415" t="s">
        <v>135</v>
      </c>
      <c r="C9" s="415"/>
      <c r="D9" s="44">
        <f>D7-D8</f>
        <v>0</v>
      </c>
    </row>
    <row r="10" spans="1:11">
      <c r="A10" s="45" t="s">
        <v>138</v>
      </c>
      <c r="B10" s="456" t="s">
        <v>173</v>
      </c>
      <c r="C10" s="457"/>
      <c r="D10" s="44">
        <f>D9*0.2</f>
        <v>0</v>
      </c>
    </row>
    <row r="11" spans="1:11">
      <c r="A11" s="46" t="s">
        <v>143</v>
      </c>
      <c r="B11" s="458" t="s">
        <v>136</v>
      </c>
      <c r="C11" s="458"/>
      <c r="D11" s="47">
        <f>D9+D10</f>
        <v>0</v>
      </c>
    </row>
    <row r="12" spans="1:11">
      <c r="A12" s="48"/>
      <c r="D12" s="49"/>
    </row>
    <row r="13" spans="1:11">
      <c r="A13" s="455" t="s">
        <v>139</v>
      </c>
      <c r="B13" s="415" t="s">
        <v>144</v>
      </c>
      <c r="C13" s="415"/>
      <c r="D13" s="44"/>
    </row>
    <row r="14" spans="1:11">
      <c r="A14" s="455"/>
      <c r="B14" s="415" t="s">
        <v>145</v>
      </c>
      <c r="C14" s="415"/>
      <c r="D14" s="44"/>
      <c r="K14" s="21"/>
    </row>
    <row r="15" spans="1:11">
      <c r="A15" s="455"/>
      <c r="B15" s="415" t="s">
        <v>170</v>
      </c>
      <c r="C15" s="415"/>
      <c r="D15" s="44"/>
      <c r="K15" s="21"/>
    </row>
    <row r="16" spans="1:11">
      <c r="A16" s="455"/>
      <c r="B16" s="456" t="s">
        <v>161</v>
      </c>
      <c r="C16" s="457"/>
      <c r="D16" s="44"/>
      <c r="K16" s="21"/>
    </row>
    <row r="17" spans="1:11">
      <c r="A17" s="455"/>
      <c r="B17" s="459" t="s">
        <v>164</v>
      </c>
      <c r="C17" s="459"/>
      <c r="D17" s="44"/>
    </row>
    <row r="18" spans="1:11">
      <c r="A18" s="455"/>
      <c r="B18" s="415" t="s">
        <v>165</v>
      </c>
      <c r="C18" s="415"/>
      <c r="D18" s="44"/>
      <c r="K18" s="21"/>
    </row>
    <row r="19" spans="1:11">
      <c r="A19" s="455"/>
      <c r="B19" s="415" t="s">
        <v>166</v>
      </c>
      <c r="C19" s="415"/>
      <c r="D19" s="43"/>
      <c r="K19" s="21"/>
    </row>
    <row r="20" spans="1:11">
      <c r="A20" s="455"/>
      <c r="B20" s="415" t="s">
        <v>167</v>
      </c>
      <c r="C20" s="415"/>
      <c r="D20" s="43"/>
    </row>
    <row r="21" spans="1:11">
      <c r="A21" s="455"/>
      <c r="B21" s="415" t="s">
        <v>168</v>
      </c>
      <c r="C21" s="415"/>
      <c r="D21" s="43"/>
    </row>
    <row r="22" spans="1:11">
      <c r="A22" s="455"/>
      <c r="B22" s="415" t="s">
        <v>140</v>
      </c>
      <c r="C22" s="415"/>
      <c r="D22" s="43"/>
    </row>
    <row r="23" spans="1:11">
      <c r="A23" s="455"/>
      <c r="B23" s="415" t="s">
        <v>140</v>
      </c>
      <c r="C23" s="415"/>
      <c r="D23" s="43"/>
    </row>
    <row r="24" spans="1:11">
      <c r="A24" s="455"/>
      <c r="B24" s="415"/>
      <c r="C24" s="415"/>
      <c r="D24" s="43"/>
    </row>
    <row r="25" spans="1:11">
      <c r="A25" s="50" t="s">
        <v>143</v>
      </c>
      <c r="B25" s="456" t="s">
        <v>141</v>
      </c>
      <c r="C25" s="457"/>
      <c r="D25" s="51">
        <f>SUM(D13:D24)</f>
        <v>0</v>
      </c>
      <c r="F25" s="40"/>
    </row>
    <row r="26" spans="1:11">
      <c r="A26" s="52"/>
      <c r="B26" s="443" t="s">
        <v>142</v>
      </c>
      <c r="C26" s="444"/>
      <c r="D26" s="144">
        <f>D11-D25</f>
        <v>0</v>
      </c>
    </row>
    <row r="27" spans="1:11" ht="15.75">
      <c r="A27" s="1"/>
      <c r="B27" s="109"/>
      <c r="C27" s="109"/>
      <c r="D27" s="41"/>
    </row>
    <row r="28" spans="1:11">
      <c r="A28" s="110" t="s">
        <v>13</v>
      </c>
      <c r="B28" s="94" t="s">
        <v>102</v>
      </c>
      <c r="C28" s="445" t="s">
        <v>172</v>
      </c>
      <c r="D28" s="446"/>
    </row>
    <row r="29" spans="1:11" ht="15.75" customHeight="1">
      <c r="A29" s="422">
        <f>Bilgiler!D3</f>
        <v>0</v>
      </c>
      <c r="B29" s="424"/>
      <c r="C29" s="434" t="s">
        <v>16</v>
      </c>
      <c r="D29" s="435"/>
    </row>
    <row r="30" spans="1:11" ht="15.75" customHeight="1">
      <c r="A30" s="422"/>
      <c r="B30" s="424"/>
      <c r="C30" s="436">
        <f>Bilgiler!D24</f>
        <v>0</v>
      </c>
      <c r="D30" s="437"/>
    </row>
    <row r="31" spans="1:11" ht="15.75" customHeight="1">
      <c r="A31" s="422"/>
      <c r="B31" s="424"/>
      <c r="C31" s="432">
        <f>Bilgiler!D14</f>
        <v>0</v>
      </c>
      <c r="D31" s="433"/>
    </row>
    <row r="32" spans="1:11" ht="15" customHeight="1">
      <c r="A32" s="422"/>
      <c r="B32" s="424"/>
      <c r="C32" s="439">
        <f>Bilgiler!D15</f>
        <v>0</v>
      </c>
      <c r="D32" s="440"/>
    </row>
    <row r="33" spans="1:4" ht="15" customHeight="1">
      <c r="A33" s="422"/>
      <c r="B33" s="424"/>
      <c r="C33" s="439"/>
      <c r="D33" s="440"/>
    </row>
    <row r="34" spans="1:4" ht="15" customHeight="1">
      <c r="A34" s="422"/>
      <c r="B34" s="424"/>
      <c r="C34" s="439"/>
      <c r="D34" s="440"/>
    </row>
    <row r="35" spans="1:4" ht="15.75" thickBot="1">
      <c r="A35" s="423"/>
      <c r="B35" s="425"/>
      <c r="C35" s="441"/>
      <c r="D35" s="442"/>
    </row>
    <row r="36" spans="1:4" ht="16.5" customHeight="1" thickTop="1">
      <c r="A36" s="429" t="s">
        <v>158</v>
      </c>
      <c r="B36" s="430"/>
      <c r="C36" s="430"/>
      <c r="D36" s="431"/>
    </row>
    <row r="37" spans="1:4" ht="16.5" customHeight="1">
      <c r="A37" s="438">
        <f>Bilgiler!D24</f>
        <v>0</v>
      </c>
      <c r="B37" s="427"/>
      <c r="C37" s="427"/>
      <c r="D37" s="428"/>
    </row>
    <row r="38" spans="1:4" ht="16.5" customHeight="1">
      <c r="A38" s="426">
        <f>Bilgiler!D16</f>
        <v>0</v>
      </c>
      <c r="B38" s="427"/>
      <c r="C38" s="427"/>
      <c r="D38" s="428"/>
    </row>
    <row r="39" spans="1:4" ht="16.5" customHeight="1">
      <c r="A39" s="426">
        <f>Bilgiler!D17</f>
        <v>0</v>
      </c>
      <c r="B39" s="427"/>
      <c r="C39" s="427"/>
      <c r="D39" s="428"/>
    </row>
    <row r="40" spans="1:4">
      <c r="A40" s="56"/>
      <c r="B40" s="74"/>
      <c r="C40" s="74"/>
      <c r="D40" s="57"/>
    </row>
    <row r="41" spans="1:4">
      <c r="A41" s="56"/>
      <c r="B41" s="74"/>
      <c r="C41" s="74"/>
      <c r="D41" s="57"/>
    </row>
    <row r="42" spans="1:4">
      <c r="A42" s="56"/>
      <c r="B42" s="74"/>
      <c r="C42" s="74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29" t="s">
        <v>185</v>
      </c>
      <c r="B45" s="430"/>
      <c r="C45" s="430"/>
      <c r="D45" s="431"/>
    </row>
    <row r="46" spans="1:4">
      <c r="A46" s="56"/>
      <c r="B46" s="74"/>
      <c r="C46" s="74"/>
      <c r="D46" s="57"/>
    </row>
    <row r="47" spans="1:4">
      <c r="A47" s="426" t="s">
        <v>237</v>
      </c>
      <c r="B47" s="427"/>
      <c r="C47" s="427"/>
      <c r="D47" s="428"/>
    </row>
    <row r="48" spans="1:4">
      <c r="A48" s="426">
        <f>Bilgiler!D18</f>
        <v>0</v>
      </c>
      <c r="B48" s="427"/>
      <c r="C48" s="427"/>
      <c r="D48" s="428"/>
    </row>
    <row r="49" spans="1:4">
      <c r="A49" s="426">
        <f>Bilgiler!D19</f>
        <v>0</v>
      </c>
      <c r="B49" s="427"/>
      <c r="C49" s="427"/>
      <c r="D49" s="428"/>
    </row>
    <row r="50" spans="1:4" ht="15.75" thickBot="1">
      <c r="A50" s="23"/>
      <c r="B50" s="24"/>
      <c r="C50" s="24"/>
      <c r="D50" s="111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3"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563"/>
      <c r="B1" s="564"/>
      <c r="C1" s="564"/>
      <c r="D1" s="564"/>
      <c r="E1" s="548">
        <f>Bilgiler!D1</f>
        <v>0</v>
      </c>
      <c r="F1" s="549"/>
      <c r="G1" s="549"/>
      <c r="H1" s="549"/>
      <c r="I1" s="549"/>
      <c r="J1" s="549"/>
      <c r="K1" s="549"/>
      <c r="L1" s="549"/>
      <c r="M1" s="549"/>
      <c r="N1" s="549"/>
      <c r="O1" s="549"/>
      <c r="P1" s="549"/>
      <c r="Q1" s="549"/>
      <c r="R1" s="549"/>
      <c r="S1" s="549"/>
      <c r="T1" s="549"/>
      <c r="U1" s="549"/>
      <c r="V1" s="549"/>
      <c r="W1" s="550"/>
      <c r="X1" s="554" t="s">
        <v>18</v>
      </c>
      <c r="Y1" s="555"/>
      <c r="Z1" s="555"/>
      <c r="AA1" s="560">
        <v>1</v>
      </c>
    </row>
    <row r="2" spans="1:27" ht="12.75" customHeight="1">
      <c r="A2" s="565"/>
      <c r="B2" s="160"/>
      <c r="C2" s="160"/>
      <c r="D2" s="160"/>
      <c r="E2" s="434"/>
      <c r="F2" s="551"/>
      <c r="G2" s="551"/>
      <c r="H2" s="551"/>
      <c r="I2" s="551"/>
      <c r="J2" s="551"/>
      <c r="K2" s="551"/>
      <c r="L2" s="551"/>
      <c r="M2" s="551"/>
      <c r="N2" s="551"/>
      <c r="O2" s="551"/>
      <c r="P2" s="551"/>
      <c r="Q2" s="551"/>
      <c r="R2" s="551"/>
      <c r="S2" s="551"/>
      <c r="T2" s="551"/>
      <c r="U2" s="551"/>
      <c r="V2" s="551"/>
      <c r="W2" s="552"/>
      <c r="X2" s="556"/>
      <c r="Y2" s="557"/>
      <c r="Z2" s="557"/>
      <c r="AA2" s="561"/>
    </row>
    <row r="3" spans="1:27" ht="12.75" customHeight="1">
      <c r="A3" s="565"/>
      <c r="B3" s="160"/>
      <c r="C3" s="160"/>
      <c r="D3" s="160"/>
      <c r="E3" s="553"/>
      <c r="F3" s="223"/>
      <c r="G3" s="223"/>
      <c r="H3" s="223"/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4"/>
      <c r="X3" s="558"/>
      <c r="Y3" s="559"/>
      <c r="Z3" s="559"/>
      <c r="AA3" s="562"/>
    </row>
    <row r="4" spans="1:27" ht="24" customHeight="1">
      <c r="A4" s="566" t="s">
        <v>19</v>
      </c>
      <c r="B4" s="503"/>
      <c r="C4" s="503"/>
      <c r="D4" s="503"/>
      <c r="E4" s="567">
        <f>Bilgiler!D2</f>
        <v>0</v>
      </c>
      <c r="F4" s="568"/>
      <c r="G4" s="568"/>
      <c r="H4" s="568"/>
      <c r="I4" s="568"/>
      <c r="J4" s="568"/>
      <c r="K4" s="568"/>
      <c r="L4" s="568"/>
      <c r="M4" s="568"/>
      <c r="N4" s="568"/>
      <c r="O4" s="568"/>
      <c r="P4" s="568"/>
      <c r="Q4" s="568"/>
      <c r="R4" s="568"/>
      <c r="S4" s="568"/>
      <c r="T4" s="568"/>
      <c r="U4" s="568"/>
      <c r="V4" s="568"/>
      <c r="W4" s="568"/>
      <c r="X4" s="568"/>
      <c r="Y4" s="568"/>
      <c r="Z4" s="568"/>
      <c r="AA4" s="569"/>
    </row>
    <row r="5" spans="1:27" ht="12" customHeight="1">
      <c r="A5" s="570" t="s">
        <v>20</v>
      </c>
      <c r="B5" s="571"/>
      <c r="C5" s="571"/>
      <c r="D5" s="571"/>
      <c r="E5" s="427"/>
      <c r="F5" s="427"/>
      <c r="G5" s="427"/>
      <c r="H5" s="427"/>
      <c r="I5" s="427"/>
      <c r="J5" s="427"/>
      <c r="K5" s="427"/>
      <c r="L5" s="427"/>
      <c r="M5" s="427"/>
      <c r="N5" s="427"/>
      <c r="O5" s="427"/>
      <c r="P5" s="572" t="s">
        <v>13</v>
      </c>
      <c r="Q5" s="572"/>
      <c r="R5" s="572"/>
      <c r="S5" s="575">
        <f>Bilgiler!D3</f>
        <v>0</v>
      </c>
      <c r="T5" s="575"/>
      <c r="U5" s="575"/>
      <c r="V5" s="575"/>
      <c r="W5" s="575"/>
      <c r="X5" s="575"/>
      <c r="Y5" s="575"/>
      <c r="Z5" s="575"/>
      <c r="AA5" s="576"/>
    </row>
    <row r="6" spans="1:27" ht="12" customHeight="1">
      <c r="A6" s="570"/>
      <c r="B6" s="571"/>
      <c r="C6" s="571"/>
      <c r="D6" s="571"/>
      <c r="E6" s="427"/>
      <c r="F6" s="427"/>
      <c r="G6" s="427"/>
      <c r="H6" s="427"/>
      <c r="I6" s="427"/>
      <c r="J6" s="427"/>
      <c r="K6" s="427"/>
      <c r="L6" s="427"/>
      <c r="M6" s="427"/>
      <c r="N6" s="427"/>
      <c r="O6" s="427"/>
      <c r="P6" s="526" t="s">
        <v>23</v>
      </c>
      <c r="Q6" s="526"/>
      <c r="R6" s="526"/>
      <c r="S6" s="520"/>
      <c r="T6" s="520"/>
      <c r="U6" s="520"/>
      <c r="V6" s="520"/>
      <c r="W6" s="520"/>
      <c r="X6" s="520"/>
      <c r="Y6" s="520"/>
      <c r="Z6" s="520"/>
      <c r="AA6" s="523"/>
    </row>
    <row r="7" spans="1:27" ht="12" customHeight="1">
      <c r="A7" s="570"/>
      <c r="B7" s="571"/>
      <c r="C7" s="571"/>
      <c r="D7" s="571"/>
      <c r="E7" s="427"/>
      <c r="F7" s="427"/>
      <c r="G7" s="427"/>
      <c r="H7" s="427"/>
      <c r="I7" s="427"/>
      <c r="J7" s="427"/>
      <c r="K7" s="427"/>
      <c r="L7" s="427"/>
      <c r="M7" s="427"/>
      <c r="N7" s="427"/>
      <c r="O7" s="427"/>
      <c r="P7" s="526" t="s">
        <v>21</v>
      </c>
      <c r="Q7" s="526"/>
      <c r="R7" s="524"/>
      <c r="S7" s="524"/>
      <c r="T7" s="524"/>
      <c r="U7" s="524"/>
      <c r="V7" s="574" t="s">
        <v>22</v>
      </c>
      <c r="W7" s="574"/>
      <c r="X7" s="524"/>
      <c r="Y7" s="524"/>
      <c r="Z7" s="524"/>
      <c r="AA7" s="525"/>
    </row>
    <row r="8" spans="1:27" ht="12" customHeight="1">
      <c r="A8" s="570"/>
      <c r="B8" s="571"/>
      <c r="C8" s="571"/>
      <c r="D8" s="571"/>
      <c r="E8" s="427"/>
      <c r="F8" s="427"/>
      <c r="G8" s="427"/>
      <c r="H8" s="427"/>
      <c r="I8" s="427"/>
      <c r="J8" s="427"/>
      <c r="K8" s="427"/>
      <c r="L8" s="427"/>
      <c r="M8" s="427"/>
      <c r="N8" s="427"/>
      <c r="O8" s="427"/>
      <c r="P8" s="526" t="s">
        <v>24</v>
      </c>
      <c r="Q8" s="526"/>
      <c r="R8" s="526"/>
      <c r="S8" s="526"/>
      <c r="T8" s="527">
        <f>Bilgiler!D1</f>
        <v>0</v>
      </c>
      <c r="U8" s="527"/>
      <c r="V8" s="527"/>
      <c r="W8" s="527"/>
      <c r="X8" s="527"/>
      <c r="Y8" s="527"/>
      <c r="Z8" s="527"/>
      <c r="AA8" s="528"/>
    </row>
    <row r="9" spans="1:27" ht="12" customHeight="1">
      <c r="A9" s="570"/>
      <c r="B9" s="571"/>
      <c r="C9" s="571"/>
      <c r="D9" s="571"/>
      <c r="E9" s="427"/>
      <c r="F9" s="427"/>
      <c r="G9" s="427"/>
      <c r="H9" s="427"/>
      <c r="I9" s="427"/>
      <c r="J9" s="427"/>
      <c r="K9" s="427"/>
      <c r="L9" s="427"/>
      <c r="M9" s="427"/>
      <c r="N9" s="427"/>
      <c r="O9" s="427"/>
      <c r="P9" s="524"/>
      <c r="Q9" s="524"/>
      <c r="R9" s="524"/>
      <c r="S9" s="524"/>
      <c r="T9" s="524"/>
      <c r="U9" s="524"/>
      <c r="V9" s="524"/>
      <c r="W9" s="524"/>
      <c r="X9" s="524"/>
      <c r="Y9" s="524"/>
      <c r="Z9" s="524"/>
      <c r="AA9" s="525"/>
    </row>
    <row r="10" spans="1:27" ht="12" customHeight="1">
      <c r="A10" s="570"/>
      <c r="B10" s="571"/>
      <c r="C10" s="571"/>
      <c r="D10" s="571"/>
      <c r="E10" s="427"/>
      <c r="F10" s="427"/>
      <c r="G10" s="427"/>
      <c r="H10" s="427"/>
      <c r="I10" s="427"/>
      <c r="J10" s="427"/>
      <c r="K10" s="427"/>
      <c r="L10" s="427"/>
      <c r="M10" s="427"/>
      <c r="N10" s="427"/>
      <c r="O10" s="427"/>
      <c r="P10" s="526" t="s">
        <v>25</v>
      </c>
      <c r="Q10" s="526"/>
      <c r="R10" s="526"/>
      <c r="S10" s="526"/>
      <c r="T10" s="517">
        <f>Bilgiler!D14</f>
        <v>0</v>
      </c>
      <c r="U10" s="517"/>
      <c r="V10" s="517"/>
      <c r="W10" s="517"/>
      <c r="X10" s="517"/>
      <c r="Y10" s="517"/>
      <c r="Z10" s="517"/>
      <c r="AA10" s="573"/>
    </row>
    <row r="11" spans="1:27" ht="12" customHeight="1">
      <c r="A11" s="570"/>
      <c r="B11" s="571"/>
      <c r="C11" s="571"/>
      <c r="D11" s="571"/>
      <c r="E11" s="427"/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526" t="s">
        <v>26</v>
      </c>
      <c r="Q11" s="526"/>
      <c r="R11" s="526"/>
      <c r="S11" s="526"/>
      <c r="T11" s="527">
        <f>Bilgiler!D18</f>
        <v>0</v>
      </c>
      <c r="U11" s="527"/>
      <c r="V11" s="527"/>
      <c r="W11" s="527"/>
      <c r="X11" s="527"/>
      <c r="Y11" s="527"/>
      <c r="Z11" s="527"/>
      <c r="AA11" s="528"/>
    </row>
    <row r="12" spans="1:27" ht="12" customHeight="1">
      <c r="A12" s="529" t="s">
        <v>27</v>
      </c>
      <c r="B12" s="530"/>
      <c r="C12" s="530"/>
      <c r="D12" s="530"/>
      <c r="E12" s="530"/>
      <c r="F12" s="530"/>
      <c r="G12" s="530"/>
      <c r="H12" s="530"/>
      <c r="I12" s="530"/>
      <c r="J12" s="530"/>
      <c r="K12" s="530"/>
      <c r="L12" s="530"/>
      <c r="M12" s="530"/>
      <c r="N12" s="530"/>
      <c r="O12" s="530"/>
      <c r="P12" s="530"/>
      <c r="Q12" s="530"/>
      <c r="R12" s="530"/>
      <c r="S12" s="531"/>
      <c r="T12" s="532" t="s">
        <v>28</v>
      </c>
      <c r="U12" s="530"/>
      <c r="V12" s="530"/>
      <c r="W12" s="530"/>
      <c r="X12" s="530"/>
      <c r="Y12" s="530"/>
      <c r="Z12" s="530"/>
      <c r="AA12" s="533"/>
    </row>
    <row r="13" spans="1:27" ht="12" customHeight="1">
      <c r="A13" s="534" t="s">
        <v>171</v>
      </c>
      <c r="B13" s="518"/>
      <c r="C13" s="518"/>
      <c r="D13" s="518"/>
      <c r="E13" s="518"/>
      <c r="F13" s="518"/>
      <c r="G13" s="518" t="s">
        <v>29</v>
      </c>
      <c r="H13" s="518"/>
      <c r="I13" s="518"/>
      <c r="J13" s="518"/>
      <c r="K13" s="518"/>
      <c r="L13" s="518"/>
      <c r="M13" s="518" t="s">
        <v>30</v>
      </c>
      <c r="N13" s="518"/>
      <c r="O13" s="518"/>
      <c r="P13" s="518" t="s">
        <v>31</v>
      </c>
      <c r="Q13" s="518"/>
      <c r="R13" s="518"/>
      <c r="S13" s="520" t="s">
        <v>32</v>
      </c>
      <c r="T13" s="520"/>
      <c r="U13" s="520"/>
      <c r="V13" s="520"/>
      <c r="W13" s="520"/>
      <c r="X13" s="512">
        <f>Bilgiler!D10</f>
        <v>0</v>
      </c>
      <c r="Y13" s="512"/>
      <c r="Z13" s="512"/>
      <c r="AA13" s="513"/>
    </row>
    <row r="14" spans="1:27" ht="12" customHeight="1">
      <c r="A14" s="535" t="s">
        <v>38</v>
      </c>
      <c r="B14" s="514"/>
      <c r="C14" s="514"/>
      <c r="D14" s="514"/>
      <c r="E14" s="514"/>
      <c r="F14" s="514"/>
      <c r="G14" s="539">
        <f>Bilgiler!D9</f>
        <v>0</v>
      </c>
      <c r="H14" s="540"/>
      <c r="I14" s="540"/>
      <c r="J14" s="540"/>
      <c r="K14" s="540"/>
      <c r="L14" s="540"/>
      <c r="M14" s="519">
        <f>Bilgiler!D10</f>
        <v>0</v>
      </c>
      <c r="N14" s="518"/>
      <c r="O14" s="518"/>
      <c r="P14" s="518"/>
      <c r="Q14" s="518"/>
      <c r="R14" s="518"/>
      <c r="S14" s="520" t="s">
        <v>33</v>
      </c>
      <c r="T14" s="520"/>
      <c r="U14" s="520"/>
      <c r="V14" s="520"/>
      <c r="W14" s="520"/>
      <c r="X14" s="512">
        <f>Bilgiler!D21</f>
        <v>0</v>
      </c>
      <c r="Y14" s="512"/>
      <c r="Z14" s="512"/>
      <c r="AA14" s="513"/>
    </row>
    <row r="15" spans="1:27" ht="12" customHeight="1">
      <c r="A15" s="535" t="s">
        <v>39</v>
      </c>
      <c r="B15" s="514"/>
      <c r="C15" s="514"/>
      <c r="D15" s="514"/>
      <c r="E15" s="514"/>
      <c r="F15" s="514"/>
      <c r="G15" s="539"/>
      <c r="H15" s="540"/>
      <c r="I15" s="540"/>
      <c r="J15" s="540"/>
      <c r="K15" s="540"/>
      <c r="L15" s="540"/>
      <c r="M15" s="518"/>
      <c r="N15" s="518"/>
      <c r="O15" s="518"/>
      <c r="P15" s="518"/>
      <c r="Q15" s="518"/>
      <c r="R15" s="518"/>
      <c r="S15" s="520" t="s">
        <v>34</v>
      </c>
      <c r="T15" s="520"/>
      <c r="U15" s="520"/>
      <c r="V15" s="520"/>
      <c r="W15" s="520"/>
      <c r="X15" s="514">
        <f>Bilgiler!D22</f>
        <v>0</v>
      </c>
      <c r="Y15" s="514"/>
      <c r="Z15" s="514"/>
      <c r="AA15" s="515"/>
    </row>
    <row r="16" spans="1:27" ht="12" customHeight="1">
      <c r="A16" s="536" t="s">
        <v>40</v>
      </c>
      <c r="B16" s="537"/>
      <c r="C16" s="537"/>
      <c r="D16" s="537"/>
      <c r="E16" s="537"/>
      <c r="F16" s="538"/>
      <c r="G16" s="541">
        <f>G14+G15</f>
        <v>0</v>
      </c>
      <c r="H16" s="541"/>
      <c r="I16" s="541"/>
      <c r="J16" s="541"/>
      <c r="K16" s="541"/>
      <c r="L16" s="541"/>
      <c r="M16" s="518"/>
      <c r="N16" s="518"/>
      <c r="O16" s="518"/>
      <c r="P16" s="518"/>
      <c r="Q16" s="518"/>
      <c r="R16" s="518"/>
      <c r="S16" s="520" t="s">
        <v>35</v>
      </c>
      <c r="T16" s="520"/>
      <c r="U16" s="520"/>
      <c r="V16" s="520"/>
      <c r="W16" s="520"/>
      <c r="X16" s="512">
        <f>X14+X15-1</f>
        <v>-1</v>
      </c>
      <c r="Y16" s="512"/>
      <c r="Z16" s="512"/>
      <c r="AA16" s="513"/>
    </row>
    <row r="17" spans="1:27" ht="12" customHeight="1">
      <c r="A17" s="516" t="s">
        <v>41</v>
      </c>
      <c r="B17" s="517"/>
      <c r="C17" s="517"/>
      <c r="D17" s="517"/>
      <c r="E17" s="517"/>
      <c r="F17" s="517"/>
      <c r="G17" s="517"/>
      <c r="H17" s="517"/>
      <c r="I17" s="517"/>
      <c r="J17" s="517"/>
      <c r="K17" s="517"/>
      <c r="L17" s="517"/>
      <c r="M17" s="518"/>
      <c r="N17" s="518"/>
      <c r="O17" s="518"/>
      <c r="P17" s="518"/>
      <c r="Q17" s="518"/>
      <c r="R17" s="518"/>
      <c r="S17" s="520" t="s">
        <v>107</v>
      </c>
      <c r="T17" s="520"/>
      <c r="U17" s="520"/>
      <c r="V17" s="520"/>
      <c r="W17" s="520"/>
      <c r="X17" s="512"/>
      <c r="Y17" s="512"/>
      <c r="Z17" s="512"/>
      <c r="AA17" s="513"/>
    </row>
    <row r="18" spans="1:27" ht="12" customHeight="1">
      <c r="A18" s="516" t="s">
        <v>42</v>
      </c>
      <c r="B18" s="517"/>
      <c r="C18" s="517"/>
      <c r="D18" s="517"/>
      <c r="E18" s="517"/>
      <c r="F18" s="517"/>
      <c r="G18" s="517"/>
      <c r="H18" s="517"/>
      <c r="I18" s="517"/>
      <c r="J18" s="517"/>
      <c r="K18" s="517"/>
      <c r="L18" s="517"/>
      <c r="M18" s="518"/>
      <c r="N18" s="518"/>
      <c r="O18" s="518"/>
      <c r="P18" s="518"/>
      <c r="Q18" s="518"/>
      <c r="R18" s="518"/>
      <c r="S18" s="520" t="s">
        <v>36</v>
      </c>
      <c r="T18" s="520"/>
      <c r="U18" s="520"/>
      <c r="V18" s="520"/>
      <c r="W18" s="520"/>
      <c r="X18" s="512"/>
      <c r="Y18" s="512"/>
      <c r="Z18" s="512"/>
      <c r="AA18" s="513"/>
    </row>
    <row r="19" spans="1:27" ht="12" customHeight="1">
      <c r="A19" s="516" t="s">
        <v>43</v>
      </c>
      <c r="B19" s="517"/>
      <c r="C19" s="517"/>
      <c r="D19" s="517"/>
      <c r="E19" s="517"/>
      <c r="F19" s="517"/>
      <c r="G19" s="517"/>
      <c r="H19" s="517"/>
      <c r="I19" s="517"/>
      <c r="J19" s="517"/>
      <c r="K19" s="517"/>
      <c r="L19" s="517"/>
      <c r="M19" s="518"/>
      <c r="N19" s="518"/>
      <c r="O19" s="518"/>
      <c r="P19" s="518"/>
      <c r="Q19" s="518"/>
      <c r="R19" s="518"/>
      <c r="S19" s="520" t="s">
        <v>37</v>
      </c>
      <c r="T19" s="520"/>
      <c r="U19" s="520"/>
      <c r="V19" s="520"/>
      <c r="W19" s="520"/>
      <c r="X19" s="514"/>
      <c r="Y19" s="514"/>
      <c r="Z19" s="514"/>
      <c r="AA19" s="515"/>
    </row>
    <row r="20" spans="1:27" ht="12.75" customHeight="1">
      <c r="A20" s="521" t="s">
        <v>44</v>
      </c>
      <c r="B20" s="522"/>
      <c r="C20" s="522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08" t="s">
        <v>46</v>
      </c>
      <c r="B21" s="509"/>
      <c r="C21" s="509"/>
      <c r="D21" s="509" t="s">
        <v>47</v>
      </c>
      <c r="E21" s="509"/>
      <c r="F21" s="509"/>
      <c r="G21" s="509"/>
      <c r="H21" s="509"/>
      <c r="I21" s="509"/>
      <c r="J21" s="509"/>
      <c r="K21" s="509"/>
      <c r="L21" s="509"/>
      <c r="M21" s="509"/>
      <c r="N21" s="510" t="s">
        <v>48</v>
      </c>
      <c r="O21" s="510"/>
      <c r="P21" s="510"/>
      <c r="Q21" s="510" t="s">
        <v>49</v>
      </c>
      <c r="R21" s="510"/>
      <c r="S21" s="510"/>
      <c r="T21" s="510" t="s">
        <v>50</v>
      </c>
      <c r="U21" s="510"/>
      <c r="V21" s="510"/>
      <c r="W21" s="510" t="s">
        <v>51</v>
      </c>
      <c r="X21" s="510"/>
      <c r="Y21" s="510"/>
      <c r="Z21" s="510"/>
      <c r="AA21" s="511"/>
    </row>
    <row r="22" spans="1:27" ht="24" customHeight="1">
      <c r="A22" s="460" t="str">
        <f>BFTC!B5</f>
        <v>KASKİ-01</v>
      </c>
      <c r="B22" s="461"/>
      <c r="C22" s="461"/>
      <c r="D22" s="462" t="str">
        <f>BFTC!C5</f>
        <v>Sayaç Endekslerinin Okunması, Mobil Okuma Cihazı İle Tespiti ve Makbuz Dağıtılması İşlemi</v>
      </c>
      <c r="E22" s="463"/>
      <c r="F22" s="463"/>
      <c r="G22" s="463"/>
      <c r="H22" s="463"/>
      <c r="I22" s="463"/>
      <c r="J22" s="463"/>
      <c r="K22" s="463"/>
      <c r="L22" s="463"/>
      <c r="M22" s="464"/>
      <c r="N22" s="465">
        <f>BFTC!G5</f>
        <v>40000000</v>
      </c>
      <c r="O22" s="465"/>
      <c r="P22" s="465"/>
      <c r="Q22" s="465">
        <f>Çarşaf!AV14</f>
        <v>0</v>
      </c>
      <c r="R22" s="465"/>
      <c r="S22" s="465"/>
      <c r="T22" s="466">
        <f>Q22/N22</f>
        <v>0</v>
      </c>
      <c r="U22" s="466"/>
      <c r="V22" s="466"/>
      <c r="W22" s="466">
        <f>T22</f>
        <v>0</v>
      </c>
      <c r="X22" s="467"/>
      <c r="Y22" s="467"/>
      <c r="Z22" s="467"/>
      <c r="AA22" s="468"/>
    </row>
    <row r="23" spans="1:27" ht="24" customHeight="1">
      <c r="A23" s="460" t="str">
        <f>BFTC!B6</f>
        <v>KASKİ-02</v>
      </c>
      <c r="B23" s="461"/>
      <c r="C23" s="461"/>
      <c r="D23" s="462" t="str">
        <f>BFTC!C6</f>
        <v>Sayaç Endekslerinin Yerinde Yapılan Kontrollerde Tespit Edilememesi (kıyas okuma veya evde yok okuma) İşlemi</v>
      </c>
      <c r="E23" s="463"/>
      <c r="F23" s="463"/>
      <c r="G23" s="463"/>
      <c r="H23" s="463"/>
      <c r="I23" s="463"/>
      <c r="J23" s="463"/>
      <c r="K23" s="463"/>
      <c r="L23" s="463"/>
      <c r="M23" s="464"/>
      <c r="N23" s="465">
        <f>BFTC!G6</f>
        <v>1000000</v>
      </c>
      <c r="O23" s="465"/>
      <c r="P23" s="465"/>
      <c r="Q23" s="465">
        <f>Çarşaf!AV15</f>
        <v>0</v>
      </c>
      <c r="R23" s="465"/>
      <c r="S23" s="465"/>
      <c r="T23" s="466">
        <f t="shared" ref="T23:T28" si="0">Q23/N23</f>
        <v>0</v>
      </c>
      <c r="U23" s="466"/>
      <c r="V23" s="466"/>
      <c r="W23" s="466">
        <f t="shared" ref="W23:W28" si="1">T23</f>
        <v>0</v>
      </c>
      <c r="X23" s="467"/>
      <c r="Y23" s="467"/>
      <c r="Z23" s="467"/>
      <c r="AA23" s="468"/>
    </row>
    <row r="24" spans="1:27" ht="24" customHeight="1">
      <c r="A24" s="460" t="str">
        <f>BFTC!B7</f>
        <v>KASKİ-03</v>
      </c>
      <c r="B24" s="461"/>
      <c r="C24" s="461"/>
      <c r="D24" s="462" t="str">
        <f>BFTC!C7</f>
        <v>Mühürsüz Sayaçların Mühürlemesi</v>
      </c>
      <c r="E24" s="463"/>
      <c r="F24" s="463"/>
      <c r="G24" s="463"/>
      <c r="H24" s="463"/>
      <c r="I24" s="463"/>
      <c r="J24" s="463"/>
      <c r="K24" s="463"/>
      <c r="L24" s="463"/>
      <c r="M24" s="464"/>
      <c r="N24" s="465">
        <f>BFTC!G7</f>
        <v>1000000</v>
      </c>
      <c r="O24" s="465"/>
      <c r="P24" s="465"/>
      <c r="Q24" s="465">
        <f>Çarşaf!AV16</f>
        <v>0</v>
      </c>
      <c r="R24" s="465"/>
      <c r="S24" s="465"/>
      <c r="T24" s="466">
        <f t="shared" si="0"/>
        <v>0</v>
      </c>
      <c r="U24" s="466"/>
      <c r="V24" s="466"/>
      <c r="W24" s="466">
        <f t="shared" si="1"/>
        <v>0</v>
      </c>
      <c r="X24" s="467"/>
      <c r="Y24" s="467"/>
      <c r="Z24" s="467"/>
      <c r="AA24" s="468"/>
    </row>
    <row r="25" spans="1:27" ht="24" customHeight="1">
      <c r="A25" s="460" t="str">
        <f>BFTC!B8</f>
        <v>KASKİ-04</v>
      </c>
      <c r="B25" s="461"/>
      <c r="C25" s="461"/>
      <c r="D25" s="462" t="str">
        <f>BFTC!C8</f>
        <v>Sayaç Sökme ve Sayaç Takma</v>
      </c>
      <c r="E25" s="463"/>
      <c r="F25" s="463"/>
      <c r="G25" s="463"/>
      <c r="H25" s="463"/>
      <c r="I25" s="463"/>
      <c r="J25" s="463"/>
      <c r="K25" s="463"/>
      <c r="L25" s="463"/>
      <c r="M25" s="464"/>
      <c r="N25" s="465">
        <f>BFTC!G8</f>
        <v>11200000</v>
      </c>
      <c r="O25" s="465"/>
      <c r="P25" s="465"/>
      <c r="Q25" s="465">
        <f>Çarşaf!AV17</f>
        <v>0</v>
      </c>
      <c r="R25" s="465"/>
      <c r="S25" s="465"/>
      <c r="T25" s="466">
        <f t="shared" si="0"/>
        <v>0</v>
      </c>
      <c r="U25" s="466"/>
      <c r="V25" s="466"/>
      <c r="W25" s="466">
        <f t="shared" si="1"/>
        <v>0</v>
      </c>
      <c r="X25" s="467"/>
      <c r="Y25" s="467"/>
      <c r="Z25" s="467"/>
      <c r="AA25" s="468"/>
    </row>
    <row r="26" spans="1:27" ht="24" customHeight="1">
      <c r="A26" s="460" t="str">
        <f>BFTC!B9</f>
        <v>KASKİ-05</v>
      </c>
      <c r="B26" s="461"/>
      <c r="C26" s="461"/>
      <c r="D26" s="462" t="str">
        <f>BFTC!C9</f>
        <v>Su Kapama veya Su Açma</v>
      </c>
      <c r="E26" s="463"/>
      <c r="F26" s="463"/>
      <c r="G26" s="463"/>
      <c r="H26" s="463"/>
      <c r="I26" s="463"/>
      <c r="J26" s="463"/>
      <c r="K26" s="463"/>
      <c r="L26" s="463"/>
      <c r="M26" s="464"/>
      <c r="N26" s="465">
        <f>BFTC!G9</f>
        <v>28000000</v>
      </c>
      <c r="O26" s="465"/>
      <c r="P26" s="465"/>
      <c r="Q26" s="465">
        <f>Çarşaf!AV18</f>
        <v>0</v>
      </c>
      <c r="R26" s="465"/>
      <c r="S26" s="465"/>
      <c r="T26" s="466">
        <f t="shared" si="0"/>
        <v>0</v>
      </c>
      <c r="U26" s="466"/>
      <c r="V26" s="466"/>
      <c r="W26" s="466">
        <f t="shared" si="1"/>
        <v>0</v>
      </c>
      <c r="X26" s="467"/>
      <c r="Y26" s="467"/>
      <c r="Z26" s="467"/>
      <c r="AA26" s="468"/>
    </row>
    <row r="27" spans="1:27" ht="24" customHeight="1">
      <c r="A27" s="460" t="str">
        <f>BFTC!B10</f>
        <v>KASKİ-06</v>
      </c>
      <c r="B27" s="461"/>
      <c r="C27" s="461"/>
      <c r="D27" s="462" t="str">
        <f>BFTC!C10</f>
        <v>Sayaç Alımı (Teknik Şartnamede Özellikleri Belirtilen) DN20 190 MM</v>
      </c>
      <c r="E27" s="463"/>
      <c r="F27" s="463"/>
      <c r="G27" s="463"/>
      <c r="H27" s="463"/>
      <c r="I27" s="463"/>
      <c r="J27" s="463"/>
      <c r="K27" s="463"/>
      <c r="L27" s="463"/>
      <c r="M27" s="464"/>
      <c r="N27" s="465">
        <f>BFTC!G10</f>
        <v>20250000</v>
      </c>
      <c r="O27" s="465"/>
      <c r="P27" s="465"/>
      <c r="Q27" s="465">
        <f>Çarşaf!AV19</f>
        <v>0</v>
      </c>
      <c r="R27" s="465"/>
      <c r="S27" s="465"/>
      <c r="T27" s="466">
        <f t="shared" si="0"/>
        <v>0</v>
      </c>
      <c r="U27" s="466"/>
      <c r="V27" s="466"/>
      <c r="W27" s="466">
        <f t="shared" si="1"/>
        <v>0</v>
      </c>
      <c r="X27" s="467"/>
      <c r="Y27" s="467"/>
      <c r="Z27" s="467"/>
      <c r="AA27" s="468"/>
    </row>
    <row r="28" spans="1:27" ht="24" customHeight="1">
      <c r="A28" s="460" t="str">
        <f>BFTC!B11</f>
        <v>KASKİ-07</v>
      </c>
      <c r="B28" s="461"/>
      <c r="C28" s="461"/>
      <c r="D28" s="462" t="str">
        <f>BFTC!C11</f>
        <v>İçme Suyu Hatlarında Sayaçlı Abonesiz, Sayaçsız ve Kaçak Kullanımın Tespit Edilmesi ve Raporlanması</v>
      </c>
      <c r="E28" s="463"/>
      <c r="F28" s="463"/>
      <c r="G28" s="463"/>
      <c r="H28" s="463"/>
      <c r="I28" s="463"/>
      <c r="J28" s="463"/>
      <c r="K28" s="463"/>
      <c r="L28" s="463"/>
      <c r="M28" s="464"/>
      <c r="N28" s="465">
        <f>BFTC!G11</f>
        <v>13500000</v>
      </c>
      <c r="O28" s="465"/>
      <c r="P28" s="465"/>
      <c r="Q28" s="465">
        <f>Çarşaf!AV20</f>
        <v>0</v>
      </c>
      <c r="R28" s="465"/>
      <c r="S28" s="465"/>
      <c r="T28" s="466">
        <f t="shared" si="0"/>
        <v>0</v>
      </c>
      <c r="U28" s="466"/>
      <c r="V28" s="466"/>
      <c r="W28" s="466">
        <f t="shared" si="1"/>
        <v>0</v>
      </c>
      <c r="X28" s="467"/>
      <c r="Y28" s="467"/>
      <c r="Z28" s="467"/>
      <c r="AA28" s="468"/>
    </row>
    <row r="29" spans="1:27" ht="24" customHeight="1">
      <c r="A29" s="475"/>
      <c r="B29" s="476"/>
      <c r="C29" s="477"/>
      <c r="D29" s="478"/>
      <c r="E29" s="479"/>
      <c r="F29" s="479"/>
      <c r="G29" s="479"/>
      <c r="H29" s="479"/>
      <c r="I29" s="479"/>
      <c r="J29" s="479"/>
      <c r="K29" s="479"/>
      <c r="L29" s="479"/>
      <c r="M29" s="480"/>
      <c r="N29" s="481"/>
      <c r="O29" s="482"/>
      <c r="P29" s="483"/>
      <c r="Q29" s="481"/>
      <c r="R29" s="482"/>
      <c r="S29" s="483"/>
      <c r="T29" s="484"/>
      <c r="U29" s="485"/>
      <c r="V29" s="486"/>
      <c r="W29" s="484"/>
      <c r="X29" s="485"/>
      <c r="Y29" s="485"/>
      <c r="Z29" s="485"/>
      <c r="AA29" s="487"/>
    </row>
    <row r="30" spans="1:27" ht="24" customHeight="1">
      <c r="A30" s="410">
        <f>BFTC!B12</f>
        <v>0</v>
      </c>
      <c r="B30" s="347"/>
      <c r="C30" s="347"/>
      <c r="D30" s="469" t="str">
        <f>BFTC!C12</f>
        <v>GENEL TOPLAM</v>
      </c>
      <c r="E30" s="470"/>
      <c r="F30" s="470"/>
      <c r="G30" s="470"/>
      <c r="H30" s="470"/>
      <c r="I30" s="470"/>
      <c r="J30" s="470"/>
      <c r="K30" s="470"/>
      <c r="L30" s="470"/>
      <c r="M30" s="471"/>
      <c r="N30" s="472">
        <f>BFTC!G12</f>
        <v>114950000</v>
      </c>
      <c r="O30" s="472"/>
      <c r="P30" s="472"/>
      <c r="Q30" s="472">
        <f>Çarşaf!AV21</f>
        <v>0</v>
      </c>
      <c r="R30" s="472"/>
      <c r="S30" s="472"/>
      <c r="T30" s="473">
        <f t="shared" ref="T30" si="2">Q30/N30</f>
        <v>0</v>
      </c>
      <c r="U30" s="473"/>
      <c r="V30" s="473"/>
      <c r="W30" s="473">
        <f t="shared" ref="W30" si="3">T30</f>
        <v>0</v>
      </c>
      <c r="X30" s="369"/>
      <c r="Y30" s="369"/>
      <c r="Z30" s="369"/>
      <c r="AA30" s="474"/>
    </row>
    <row r="31" spans="1:27" ht="24" customHeight="1">
      <c r="A31" s="460"/>
      <c r="B31" s="461"/>
      <c r="C31" s="461"/>
      <c r="D31" s="462"/>
      <c r="E31" s="463"/>
      <c r="F31" s="463"/>
      <c r="G31" s="463"/>
      <c r="H31" s="463"/>
      <c r="I31" s="463"/>
      <c r="J31" s="463"/>
      <c r="K31" s="463"/>
      <c r="L31" s="463"/>
      <c r="M31" s="464"/>
      <c r="N31" s="465"/>
      <c r="O31" s="465"/>
      <c r="P31" s="465"/>
      <c r="Q31" s="465"/>
      <c r="R31" s="465"/>
      <c r="S31" s="465"/>
      <c r="T31" s="466"/>
      <c r="U31" s="466"/>
      <c r="V31" s="466"/>
      <c r="W31" s="466"/>
      <c r="X31" s="467"/>
      <c r="Y31" s="467"/>
      <c r="Z31" s="467"/>
      <c r="AA31" s="468"/>
    </row>
    <row r="32" spans="1:27" ht="24" customHeight="1">
      <c r="A32" s="460"/>
      <c r="B32" s="461"/>
      <c r="C32" s="461"/>
      <c r="D32" s="462"/>
      <c r="E32" s="463"/>
      <c r="F32" s="463"/>
      <c r="G32" s="463"/>
      <c r="H32" s="463"/>
      <c r="I32" s="463"/>
      <c r="J32" s="463"/>
      <c r="K32" s="463"/>
      <c r="L32" s="463"/>
      <c r="M32" s="464"/>
      <c r="N32" s="465"/>
      <c r="O32" s="465"/>
      <c r="P32" s="465"/>
      <c r="Q32" s="465"/>
      <c r="R32" s="465"/>
      <c r="S32" s="465"/>
      <c r="T32" s="466"/>
      <c r="U32" s="466"/>
      <c r="V32" s="466"/>
      <c r="W32" s="466"/>
      <c r="X32" s="467"/>
      <c r="Y32" s="467"/>
      <c r="Z32" s="467"/>
      <c r="AA32" s="468"/>
    </row>
    <row r="33" spans="1:27" ht="24" customHeight="1">
      <c r="A33" s="460"/>
      <c r="B33" s="461"/>
      <c r="C33" s="461"/>
      <c r="D33" s="462"/>
      <c r="E33" s="463"/>
      <c r="F33" s="463"/>
      <c r="G33" s="463"/>
      <c r="H33" s="463"/>
      <c r="I33" s="463"/>
      <c r="J33" s="463"/>
      <c r="K33" s="463"/>
      <c r="L33" s="463"/>
      <c r="M33" s="464"/>
      <c r="N33" s="465"/>
      <c r="O33" s="465"/>
      <c r="P33" s="465"/>
      <c r="Q33" s="465"/>
      <c r="R33" s="465"/>
      <c r="S33" s="465"/>
      <c r="T33" s="466"/>
      <c r="U33" s="466"/>
      <c r="V33" s="466"/>
      <c r="W33" s="466"/>
      <c r="X33" s="467"/>
      <c r="Y33" s="467"/>
      <c r="Z33" s="467"/>
      <c r="AA33" s="468"/>
    </row>
    <row r="34" spans="1:27" ht="24" customHeight="1">
      <c r="A34" s="460"/>
      <c r="B34" s="461"/>
      <c r="C34" s="461"/>
      <c r="D34" s="462"/>
      <c r="E34" s="463"/>
      <c r="F34" s="463"/>
      <c r="G34" s="463"/>
      <c r="H34" s="463"/>
      <c r="I34" s="463"/>
      <c r="J34" s="463"/>
      <c r="K34" s="463"/>
      <c r="L34" s="463"/>
      <c r="M34" s="464"/>
      <c r="N34" s="465"/>
      <c r="O34" s="465"/>
      <c r="P34" s="465"/>
      <c r="Q34" s="465"/>
      <c r="R34" s="465"/>
      <c r="S34" s="465"/>
      <c r="T34" s="466"/>
      <c r="U34" s="466"/>
      <c r="V34" s="466"/>
      <c r="W34" s="466"/>
      <c r="X34" s="467"/>
      <c r="Y34" s="467"/>
      <c r="Z34" s="467"/>
      <c r="AA34" s="468"/>
    </row>
    <row r="35" spans="1:27" ht="24" customHeight="1">
      <c r="A35" s="460"/>
      <c r="B35" s="461"/>
      <c r="C35" s="461"/>
      <c r="D35" s="462"/>
      <c r="E35" s="463"/>
      <c r="F35" s="463"/>
      <c r="G35" s="463"/>
      <c r="H35" s="463"/>
      <c r="I35" s="463"/>
      <c r="J35" s="463"/>
      <c r="K35" s="463"/>
      <c r="L35" s="463"/>
      <c r="M35" s="464"/>
      <c r="N35" s="465"/>
      <c r="O35" s="465"/>
      <c r="P35" s="465"/>
      <c r="Q35" s="465"/>
      <c r="R35" s="465"/>
      <c r="S35" s="465"/>
      <c r="T35" s="466"/>
      <c r="U35" s="466"/>
      <c r="V35" s="466"/>
      <c r="W35" s="466"/>
      <c r="X35" s="467"/>
      <c r="Y35" s="467"/>
      <c r="Z35" s="467"/>
      <c r="AA35" s="468"/>
    </row>
    <row r="36" spans="1:27" ht="24" customHeight="1">
      <c r="A36" s="460"/>
      <c r="B36" s="461"/>
      <c r="C36" s="461"/>
      <c r="D36" s="462"/>
      <c r="E36" s="463"/>
      <c r="F36" s="463"/>
      <c r="G36" s="463"/>
      <c r="H36" s="463"/>
      <c r="I36" s="463"/>
      <c r="J36" s="463"/>
      <c r="K36" s="463"/>
      <c r="L36" s="463"/>
      <c r="M36" s="464"/>
      <c r="N36" s="465"/>
      <c r="O36" s="465"/>
      <c r="P36" s="465"/>
      <c r="Q36" s="465"/>
      <c r="R36" s="465"/>
      <c r="S36" s="465"/>
      <c r="T36" s="466"/>
      <c r="U36" s="466"/>
      <c r="V36" s="466"/>
      <c r="W36" s="466"/>
      <c r="X36" s="467"/>
      <c r="Y36" s="467"/>
      <c r="Z36" s="467"/>
      <c r="AA36" s="468"/>
    </row>
    <row r="37" spans="1:27" ht="24" customHeight="1">
      <c r="A37" s="460"/>
      <c r="B37" s="461"/>
      <c r="C37" s="461"/>
      <c r="D37" s="462"/>
      <c r="E37" s="463"/>
      <c r="F37" s="463"/>
      <c r="G37" s="463"/>
      <c r="H37" s="463"/>
      <c r="I37" s="463"/>
      <c r="J37" s="463"/>
      <c r="K37" s="463"/>
      <c r="L37" s="463"/>
      <c r="M37" s="464"/>
      <c r="N37" s="465"/>
      <c r="O37" s="465"/>
      <c r="P37" s="465"/>
      <c r="Q37" s="465"/>
      <c r="R37" s="465"/>
      <c r="S37" s="465"/>
      <c r="T37" s="466"/>
      <c r="U37" s="466"/>
      <c r="V37" s="466"/>
      <c r="W37" s="466"/>
      <c r="X37" s="467"/>
      <c r="Y37" s="467"/>
      <c r="Z37" s="467"/>
      <c r="AA37" s="468"/>
    </row>
    <row r="38" spans="1:27" ht="24" customHeight="1">
      <c r="A38" s="460"/>
      <c r="B38" s="461"/>
      <c r="C38" s="461"/>
      <c r="D38" s="462"/>
      <c r="E38" s="463"/>
      <c r="F38" s="463"/>
      <c r="G38" s="463"/>
      <c r="H38" s="463"/>
      <c r="I38" s="463"/>
      <c r="J38" s="463"/>
      <c r="K38" s="463"/>
      <c r="L38" s="463"/>
      <c r="M38" s="464"/>
      <c r="N38" s="465"/>
      <c r="O38" s="465"/>
      <c r="P38" s="465"/>
      <c r="Q38" s="465"/>
      <c r="R38" s="465"/>
      <c r="S38" s="465"/>
      <c r="T38" s="466"/>
      <c r="U38" s="466"/>
      <c r="V38" s="466"/>
      <c r="W38" s="466"/>
      <c r="X38" s="467"/>
      <c r="Y38" s="467"/>
      <c r="Z38" s="467"/>
      <c r="AA38" s="468"/>
    </row>
    <row r="39" spans="1:27" ht="24" customHeight="1">
      <c r="A39" s="460"/>
      <c r="B39" s="461"/>
      <c r="C39" s="461"/>
      <c r="D39" s="462"/>
      <c r="E39" s="463"/>
      <c r="F39" s="463"/>
      <c r="G39" s="463"/>
      <c r="H39" s="463"/>
      <c r="I39" s="463"/>
      <c r="J39" s="463"/>
      <c r="K39" s="463"/>
      <c r="L39" s="463"/>
      <c r="M39" s="464"/>
      <c r="N39" s="465"/>
      <c r="O39" s="465"/>
      <c r="P39" s="465"/>
      <c r="Q39" s="465"/>
      <c r="R39" s="465"/>
      <c r="S39" s="465"/>
      <c r="T39" s="466"/>
      <c r="U39" s="466"/>
      <c r="V39" s="466"/>
      <c r="W39" s="466"/>
      <c r="X39" s="467"/>
      <c r="Y39" s="467"/>
      <c r="Z39" s="467"/>
      <c r="AA39" s="468"/>
    </row>
    <row r="40" spans="1:27" ht="24" customHeight="1">
      <c r="A40" s="460"/>
      <c r="B40" s="461"/>
      <c r="C40" s="461"/>
      <c r="D40" s="462"/>
      <c r="E40" s="463"/>
      <c r="F40" s="463"/>
      <c r="G40" s="463"/>
      <c r="H40" s="463"/>
      <c r="I40" s="463"/>
      <c r="J40" s="463"/>
      <c r="K40" s="463"/>
      <c r="L40" s="463"/>
      <c r="M40" s="464"/>
      <c r="N40" s="465"/>
      <c r="O40" s="465"/>
      <c r="P40" s="465"/>
      <c r="Q40" s="465"/>
      <c r="R40" s="465"/>
      <c r="S40" s="465"/>
      <c r="T40" s="466"/>
      <c r="U40" s="466"/>
      <c r="V40" s="466"/>
      <c r="W40" s="466"/>
      <c r="X40" s="467"/>
      <c r="Y40" s="467"/>
      <c r="Z40" s="467"/>
      <c r="AA40" s="468"/>
    </row>
    <row r="41" spans="1:27" ht="24" customHeight="1">
      <c r="A41" s="460"/>
      <c r="B41" s="461"/>
      <c r="C41" s="461"/>
      <c r="D41" s="462"/>
      <c r="E41" s="463"/>
      <c r="F41" s="463"/>
      <c r="G41" s="463"/>
      <c r="H41" s="463"/>
      <c r="I41" s="463"/>
      <c r="J41" s="463"/>
      <c r="K41" s="463"/>
      <c r="L41" s="463"/>
      <c r="M41" s="464"/>
      <c r="N41" s="465"/>
      <c r="O41" s="465"/>
      <c r="P41" s="465"/>
      <c r="Q41" s="465"/>
      <c r="R41" s="465"/>
      <c r="S41" s="465"/>
      <c r="T41" s="466"/>
      <c r="U41" s="466"/>
      <c r="V41" s="466"/>
      <c r="W41" s="466"/>
      <c r="X41" s="467"/>
      <c r="Y41" s="467"/>
      <c r="Z41" s="467"/>
      <c r="AA41" s="468"/>
    </row>
    <row r="42" spans="1:27" ht="24" customHeight="1">
      <c r="A42" s="460"/>
      <c r="B42" s="461"/>
      <c r="C42" s="461"/>
      <c r="D42" s="462"/>
      <c r="E42" s="463"/>
      <c r="F42" s="463"/>
      <c r="G42" s="463"/>
      <c r="H42" s="463"/>
      <c r="I42" s="463"/>
      <c r="J42" s="463"/>
      <c r="K42" s="463"/>
      <c r="L42" s="463"/>
      <c r="M42" s="464"/>
      <c r="N42" s="465"/>
      <c r="O42" s="465"/>
      <c r="P42" s="465"/>
      <c r="Q42" s="465"/>
      <c r="R42" s="465"/>
      <c r="S42" s="465"/>
      <c r="T42" s="466"/>
      <c r="U42" s="466"/>
      <c r="V42" s="466"/>
      <c r="W42" s="466"/>
      <c r="X42" s="467"/>
      <c r="Y42" s="467"/>
      <c r="Z42" s="467"/>
      <c r="AA42" s="468"/>
    </row>
    <row r="43" spans="1:27" ht="24" customHeight="1">
      <c r="A43" s="460"/>
      <c r="B43" s="461"/>
      <c r="C43" s="461"/>
      <c r="D43" s="462"/>
      <c r="E43" s="463"/>
      <c r="F43" s="463"/>
      <c r="G43" s="463"/>
      <c r="H43" s="463"/>
      <c r="I43" s="463"/>
      <c r="J43" s="463"/>
      <c r="K43" s="463"/>
      <c r="L43" s="463"/>
      <c r="M43" s="464"/>
      <c r="N43" s="465"/>
      <c r="O43" s="465"/>
      <c r="P43" s="465"/>
      <c r="Q43" s="465"/>
      <c r="R43" s="465"/>
      <c r="S43" s="465"/>
      <c r="T43" s="466"/>
      <c r="U43" s="466"/>
      <c r="V43" s="466"/>
      <c r="W43" s="466"/>
      <c r="X43" s="467"/>
      <c r="Y43" s="467"/>
      <c r="Z43" s="467"/>
      <c r="AA43" s="468"/>
    </row>
    <row r="44" spans="1:27" ht="24" customHeight="1">
      <c r="A44" s="460"/>
      <c r="B44" s="461"/>
      <c r="C44" s="461"/>
      <c r="D44" s="462"/>
      <c r="E44" s="463"/>
      <c r="F44" s="463"/>
      <c r="G44" s="463"/>
      <c r="H44" s="463"/>
      <c r="I44" s="463"/>
      <c r="J44" s="463"/>
      <c r="K44" s="463"/>
      <c r="L44" s="463"/>
      <c r="M44" s="464"/>
      <c r="N44" s="465"/>
      <c r="O44" s="465"/>
      <c r="P44" s="465"/>
      <c r="Q44" s="465"/>
      <c r="R44" s="465"/>
      <c r="S44" s="465"/>
      <c r="T44" s="466"/>
      <c r="U44" s="466"/>
      <c r="V44" s="466"/>
      <c r="W44" s="466"/>
      <c r="X44" s="467"/>
      <c r="Y44" s="467"/>
      <c r="Z44" s="467"/>
      <c r="AA44" s="468"/>
    </row>
    <row r="45" spans="1:27" ht="24" customHeight="1">
      <c r="A45" s="460"/>
      <c r="B45" s="461"/>
      <c r="C45" s="461"/>
      <c r="D45" s="462"/>
      <c r="E45" s="463"/>
      <c r="F45" s="463"/>
      <c r="G45" s="463"/>
      <c r="H45" s="463"/>
      <c r="I45" s="463"/>
      <c r="J45" s="463"/>
      <c r="K45" s="463"/>
      <c r="L45" s="463"/>
      <c r="M45" s="464"/>
      <c r="N45" s="465"/>
      <c r="O45" s="465"/>
      <c r="P45" s="465"/>
      <c r="Q45" s="465"/>
      <c r="R45" s="465"/>
      <c r="S45" s="465"/>
      <c r="T45" s="466"/>
      <c r="U45" s="466"/>
      <c r="V45" s="466"/>
      <c r="W45" s="466"/>
      <c r="X45" s="467"/>
      <c r="Y45" s="467"/>
      <c r="Z45" s="467"/>
      <c r="AA45" s="468"/>
    </row>
    <row r="46" spans="1:27" ht="24" customHeight="1">
      <c r="A46" s="460"/>
      <c r="B46" s="461"/>
      <c r="C46" s="461"/>
      <c r="D46" s="462"/>
      <c r="E46" s="463"/>
      <c r="F46" s="463"/>
      <c r="G46" s="463"/>
      <c r="H46" s="463"/>
      <c r="I46" s="463"/>
      <c r="J46" s="463"/>
      <c r="K46" s="463"/>
      <c r="L46" s="463"/>
      <c r="M46" s="464"/>
      <c r="N46" s="465"/>
      <c r="O46" s="465"/>
      <c r="P46" s="465"/>
      <c r="Q46" s="465"/>
      <c r="R46" s="465"/>
      <c r="S46" s="465"/>
      <c r="T46" s="466"/>
      <c r="U46" s="466"/>
      <c r="V46" s="466"/>
      <c r="W46" s="466"/>
      <c r="X46" s="467"/>
      <c r="Y46" s="467"/>
      <c r="Z46" s="467"/>
      <c r="AA46" s="468"/>
    </row>
    <row r="47" spans="1:27" ht="24" customHeight="1">
      <c r="A47" s="460"/>
      <c r="B47" s="461"/>
      <c r="C47" s="461"/>
      <c r="D47" s="462"/>
      <c r="E47" s="463"/>
      <c r="F47" s="463"/>
      <c r="G47" s="463"/>
      <c r="H47" s="463"/>
      <c r="I47" s="463"/>
      <c r="J47" s="463"/>
      <c r="K47" s="463"/>
      <c r="L47" s="463"/>
      <c r="M47" s="464"/>
      <c r="N47" s="465"/>
      <c r="O47" s="465"/>
      <c r="P47" s="465"/>
      <c r="Q47" s="465"/>
      <c r="R47" s="465"/>
      <c r="S47" s="465"/>
      <c r="T47" s="466"/>
      <c r="U47" s="466"/>
      <c r="V47" s="466"/>
      <c r="W47" s="466"/>
      <c r="X47" s="467"/>
      <c r="Y47" s="467"/>
      <c r="Z47" s="467"/>
      <c r="AA47" s="468"/>
    </row>
    <row r="48" spans="1:27" ht="24" customHeight="1">
      <c r="A48" s="460"/>
      <c r="B48" s="461"/>
      <c r="C48" s="461"/>
      <c r="D48" s="462"/>
      <c r="E48" s="463"/>
      <c r="F48" s="463"/>
      <c r="G48" s="463"/>
      <c r="H48" s="463"/>
      <c r="I48" s="463"/>
      <c r="J48" s="463"/>
      <c r="K48" s="463"/>
      <c r="L48" s="463"/>
      <c r="M48" s="464"/>
      <c r="N48" s="465"/>
      <c r="O48" s="465"/>
      <c r="P48" s="465"/>
      <c r="Q48" s="465"/>
      <c r="R48" s="465"/>
      <c r="S48" s="465"/>
      <c r="T48" s="466"/>
      <c r="U48" s="466"/>
      <c r="V48" s="466"/>
      <c r="W48" s="466"/>
      <c r="X48" s="467"/>
      <c r="Y48" s="467"/>
      <c r="Z48" s="467"/>
      <c r="AA48" s="468"/>
    </row>
    <row r="49" spans="1:27" ht="24" customHeight="1">
      <c r="A49" s="460"/>
      <c r="B49" s="461"/>
      <c r="C49" s="461"/>
      <c r="D49" s="462"/>
      <c r="E49" s="463"/>
      <c r="F49" s="463"/>
      <c r="G49" s="463"/>
      <c r="H49" s="463"/>
      <c r="I49" s="463"/>
      <c r="J49" s="463"/>
      <c r="K49" s="463"/>
      <c r="L49" s="463"/>
      <c r="M49" s="464"/>
      <c r="N49" s="465"/>
      <c r="O49" s="465"/>
      <c r="P49" s="465"/>
      <c r="Q49" s="465"/>
      <c r="R49" s="465"/>
      <c r="S49" s="465"/>
      <c r="T49" s="466"/>
      <c r="U49" s="466"/>
      <c r="V49" s="466"/>
      <c r="W49" s="466"/>
      <c r="X49" s="467"/>
      <c r="Y49" s="467"/>
      <c r="Z49" s="467"/>
      <c r="AA49" s="468"/>
    </row>
    <row r="50" spans="1:27" ht="24" customHeight="1">
      <c r="A50" s="460"/>
      <c r="B50" s="461"/>
      <c r="C50" s="461"/>
      <c r="D50" s="462"/>
      <c r="E50" s="463"/>
      <c r="F50" s="463"/>
      <c r="G50" s="463"/>
      <c r="H50" s="463"/>
      <c r="I50" s="463"/>
      <c r="J50" s="463"/>
      <c r="K50" s="463"/>
      <c r="L50" s="463"/>
      <c r="M50" s="464"/>
      <c r="N50" s="465"/>
      <c r="O50" s="465"/>
      <c r="P50" s="465"/>
      <c r="Q50" s="465"/>
      <c r="R50" s="465"/>
      <c r="S50" s="465"/>
      <c r="T50" s="466"/>
      <c r="U50" s="466"/>
      <c r="V50" s="466"/>
      <c r="W50" s="466"/>
      <c r="X50" s="467"/>
      <c r="Y50" s="467"/>
      <c r="Z50" s="467"/>
      <c r="AA50" s="468"/>
    </row>
    <row r="51" spans="1:27" ht="24" customHeight="1">
      <c r="A51" s="460"/>
      <c r="B51" s="461"/>
      <c r="C51" s="461"/>
      <c r="D51" s="462"/>
      <c r="E51" s="463"/>
      <c r="F51" s="463"/>
      <c r="G51" s="463"/>
      <c r="H51" s="463"/>
      <c r="I51" s="463"/>
      <c r="J51" s="463"/>
      <c r="K51" s="463"/>
      <c r="L51" s="463"/>
      <c r="M51" s="464"/>
      <c r="N51" s="465"/>
      <c r="O51" s="465"/>
      <c r="P51" s="465"/>
      <c r="Q51" s="465"/>
      <c r="R51" s="465"/>
      <c r="S51" s="465"/>
      <c r="T51" s="466"/>
      <c r="U51" s="466"/>
      <c r="V51" s="466"/>
      <c r="W51" s="466"/>
      <c r="X51" s="467"/>
      <c r="Y51" s="467"/>
      <c r="Z51" s="467"/>
      <c r="AA51" s="468"/>
    </row>
    <row r="52" spans="1:27" ht="24" customHeight="1">
      <c r="A52" s="460"/>
      <c r="B52" s="461"/>
      <c r="C52" s="461"/>
      <c r="D52" s="462"/>
      <c r="E52" s="463"/>
      <c r="F52" s="463"/>
      <c r="G52" s="463"/>
      <c r="H52" s="463"/>
      <c r="I52" s="463"/>
      <c r="J52" s="463"/>
      <c r="K52" s="463"/>
      <c r="L52" s="463"/>
      <c r="M52" s="464"/>
      <c r="N52" s="465"/>
      <c r="O52" s="465"/>
      <c r="P52" s="465"/>
      <c r="Q52" s="465"/>
      <c r="R52" s="465"/>
      <c r="S52" s="465"/>
      <c r="T52" s="466"/>
      <c r="U52" s="466"/>
      <c r="V52" s="466"/>
      <c r="W52" s="466"/>
      <c r="X52" s="467"/>
      <c r="Y52" s="467"/>
      <c r="Z52" s="467"/>
      <c r="AA52" s="468"/>
    </row>
    <row r="53" spans="1:27" ht="24" customHeight="1">
      <c r="A53" s="460"/>
      <c r="B53" s="461"/>
      <c r="C53" s="461"/>
      <c r="D53" s="462"/>
      <c r="E53" s="463"/>
      <c r="F53" s="463"/>
      <c r="G53" s="463"/>
      <c r="H53" s="463"/>
      <c r="I53" s="463"/>
      <c r="J53" s="463"/>
      <c r="K53" s="463"/>
      <c r="L53" s="463"/>
      <c r="M53" s="464"/>
      <c r="N53" s="465"/>
      <c r="O53" s="465"/>
      <c r="P53" s="465"/>
      <c r="Q53" s="465"/>
      <c r="R53" s="465"/>
      <c r="S53" s="465"/>
      <c r="T53" s="466"/>
      <c r="U53" s="466"/>
      <c r="V53" s="466"/>
      <c r="W53" s="466"/>
      <c r="X53" s="467"/>
      <c r="Y53" s="467"/>
      <c r="Z53" s="467"/>
      <c r="AA53" s="468"/>
    </row>
    <row r="54" spans="1:27" ht="24" customHeight="1">
      <c r="A54" s="460"/>
      <c r="B54" s="461"/>
      <c r="C54" s="461"/>
      <c r="D54" s="462"/>
      <c r="E54" s="463"/>
      <c r="F54" s="463"/>
      <c r="G54" s="463"/>
      <c r="H54" s="463"/>
      <c r="I54" s="463"/>
      <c r="J54" s="463"/>
      <c r="K54" s="463"/>
      <c r="L54" s="463"/>
      <c r="M54" s="464"/>
      <c r="N54" s="465"/>
      <c r="O54" s="465"/>
      <c r="P54" s="465"/>
      <c r="Q54" s="465"/>
      <c r="R54" s="465"/>
      <c r="S54" s="465"/>
      <c r="T54" s="466"/>
      <c r="U54" s="466"/>
      <c r="V54" s="466"/>
      <c r="W54" s="466"/>
      <c r="X54" s="467"/>
      <c r="Y54" s="467"/>
      <c r="Z54" s="467"/>
      <c r="AA54" s="468"/>
    </row>
    <row r="55" spans="1:27" ht="24" customHeight="1">
      <c r="A55" s="460"/>
      <c r="B55" s="461"/>
      <c r="C55" s="461"/>
      <c r="D55" s="462"/>
      <c r="E55" s="463"/>
      <c r="F55" s="463"/>
      <c r="G55" s="463"/>
      <c r="H55" s="463"/>
      <c r="I55" s="463"/>
      <c r="J55" s="463"/>
      <c r="K55" s="463"/>
      <c r="L55" s="463"/>
      <c r="M55" s="464"/>
      <c r="N55" s="465"/>
      <c r="O55" s="465"/>
      <c r="P55" s="465"/>
      <c r="Q55" s="465"/>
      <c r="R55" s="465"/>
      <c r="S55" s="465"/>
      <c r="T55" s="466"/>
      <c r="U55" s="466"/>
      <c r="V55" s="466"/>
      <c r="W55" s="466"/>
      <c r="X55" s="467"/>
      <c r="Y55" s="467"/>
      <c r="Z55" s="467"/>
      <c r="AA55" s="468"/>
    </row>
    <row r="56" spans="1:27" ht="24" customHeight="1">
      <c r="A56" s="460"/>
      <c r="B56" s="461"/>
      <c r="C56" s="461"/>
      <c r="D56" s="462"/>
      <c r="E56" s="463"/>
      <c r="F56" s="463"/>
      <c r="G56" s="463"/>
      <c r="H56" s="463"/>
      <c r="I56" s="463"/>
      <c r="J56" s="463"/>
      <c r="K56" s="463"/>
      <c r="L56" s="463"/>
      <c r="M56" s="464"/>
      <c r="N56" s="465"/>
      <c r="O56" s="465"/>
      <c r="P56" s="465"/>
      <c r="Q56" s="465"/>
      <c r="R56" s="465"/>
      <c r="S56" s="465"/>
      <c r="T56" s="466"/>
      <c r="U56" s="466"/>
      <c r="V56" s="466"/>
      <c r="W56" s="466"/>
      <c r="X56" s="467"/>
      <c r="Y56" s="467"/>
      <c r="Z56" s="467"/>
      <c r="AA56" s="468"/>
    </row>
    <row r="57" spans="1:27" ht="24" customHeight="1">
      <c r="A57" s="460"/>
      <c r="B57" s="461"/>
      <c r="C57" s="461"/>
      <c r="D57" s="462"/>
      <c r="E57" s="463"/>
      <c r="F57" s="463"/>
      <c r="G57" s="463"/>
      <c r="H57" s="463"/>
      <c r="I57" s="463"/>
      <c r="J57" s="463"/>
      <c r="K57" s="463"/>
      <c r="L57" s="463"/>
      <c r="M57" s="464"/>
      <c r="N57" s="465"/>
      <c r="O57" s="465"/>
      <c r="P57" s="465"/>
      <c r="Q57" s="465"/>
      <c r="R57" s="465"/>
      <c r="S57" s="465"/>
      <c r="T57" s="466"/>
      <c r="U57" s="466"/>
      <c r="V57" s="466"/>
      <c r="W57" s="466"/>
      <c r="X57" s="467"/>
      <c r="Y57" s="467"/>
      <c r="Z57" s="467"/>
      <c r="AA57" s="468"/>
    </row>
    <row r="58" spans="1:27" ht="24" customHeight="1">
      <c r="A58" s="460"/>
      <c r="B58" s="461"/>
      <c r="C58" s="461"/>
      <c r="D58" s="462"/>
      <c r="E58" s="463"/>
      <c r="F58" s="463"/>
      <c r="G58" s="463"/>
      <c r="H58" s="463"/>
      <c r="I58" s="463"/>
      <c r="J58" s="463"/>
      <c r="K58" s="463"/>
      <c r="L58" s="463"/>
      <c r="M58" s="464"/>
      <c r="N58" s="465"/>
      <c r="O58" s="465"/>
      <c r="P58" s="465"/>
      <c r="Q58" s="465"/>
      <c r="R58" s="465"/>
      <c r="S58" s="465"/>
      <c r="T58" s="466"/>
      <c r="U58" s="466"/>
      <c r="V58" s="466"/>
      <c r="W58" s="466"/>
      <c r="X58" s="467"/>
      <c r="Y58" s="467"/>
      <c r="Z58" s="467"/>
      <c r="AA58" s="468"/>
    </row>
    <row r="59" spans="1:27" ht="24" customHeight="1">
      <c r="A59" s="460"/>
      <c r="B59" s="461"/>
      <c r="C59" s="461"/>
      <c r="D59" s="462"/>
      <c r="E59" s="463"/>
      <c r="F59" s="463"/>
      <c r="G59" s="463"/>
      <c r="H59" s="463"/>
      <c r="I59" s="463"/>
      <c r="J59" s="463"/>
      <c r="K59" s="463"/>
      <c r="L59" s="463"/>
      <c r="M59" s="464"/>
      <c r="N59" s="465"/>
      <c r="O59" s="465"/>
      <c r="P59" s="465"/>
      <c r="Q59" s="465"/>
      <c r="R59" s="465"/>
      <c r="S59" s="465"/>
      <c r="T59" s="466"/>
      <c r="U59" s="466"/>
      <c r="V59" s="466"/>
      <c r="W59" s="466"/>
      <c r="X59" s="467"/>
      <c r="Y59" s="467"/>
      <c r="Z59" s="467"/>
      <c r="AA59" s="468"/>
    </row>
    <row r="60" spans="1:27" ht="24" customHeight="1">
      <c r="A60" s="460"/>
      <c r="B60" s="461"/>
      <c r="C60" s="461"/>
      <c r="D60" s="462"/>
      <c r="E60" s="463"/>
      <c r="F60" s="463"/>
      <c r="G60" s="463"/>
      <c r="H60" s="463"/>
      <c r="I60" s="463"/>
      <c r="J60" s="463"/>
      <c r="K60" s="463"/>
      <c r="L60" s="463"/>
      <c r="M60" s="464"/>
      <c r="N60" s="465"/>
      <c r="O60" s="465"/>
      <c r="P60" s="465"/>
      <c r="Q60" s="465"/>
      <c r="R60" s="465"/>
      <c r="S60" s="465"/>
      <c r="T60" s="466"/>
      <c r="U60" s="466"/>
      <c r="V60" s="466"/>
      <c r="W60" s="466"/>
      <c r="X60" s="467"/>
      <c r="Y60" s="467"/>
      <c r="Z60" s="467"/>
      <c r="AA60" s="468"/>
    </row>
    <row r="61" spans="1:27" ht="24" customHeight="1">
      <c r="A61" s="542"/>
      <c r="B61" s="543"/>
      <c r="C61" s="543"/>
      <c r="D61" s="543"/>
      <c r="E61" s="543"/>
      <c r="F61" s="543"/>
      <c r="G61" s="543"/>
      <c r="H61" s="543"/>
      <c r="I61" s="543"/>
      <c r="J61" s="543"/>
      <c r="K61" s="543"/>
      <c r="L61" s="543"/>
      <c r="M61" s="543"/>
      <c r="N61" s="543"/>
      <c r="O61" s="543"/>
      <c r="P61" s="543"/>
      <c r="Q61" s="543"/>
      <c r="R61" s="543"/>
      <c r="S61" s="543"/>
      <c r="T61" s="543"/>
      <c r="U61" s="543"/>
      <c r="V61" s="543"/>
      <c r="W61" s="543"/>
      <c r="X61" s="543"/>
      <c r="Y61" s="543"/>
      <c r="Z61" s="543"/>
      <c r="AA61" s="544"/>
    </row>
    <row r="62" spans="1:27" ht="24" customHeight="1">
      <c r="A62" s="545"/>
      <c r="B62" s="546"/>
      <c r="C62" s="546"/>
      <c r="D62" s="546"/>
      <c r="E62" s="546"/>
      <c r="F62" s="546"/>
      <c r="G62" s="546"/>
      <c r="H62" s="546"/>
      <c r="I62" s="546"/>
      <c r="J62" s="546"/>
      <c r="K62" s="546"/>
      <c r="L62" s="546"/>
      <c r="M62" s="546"/>
      <c r="N62" s="546"/>
      <c r="O62" s="546"/>
      <c r="P62" s="546"/>
      <c r="Q62" s="546"/>
      <c r="R62" s="546"/>
      <c r="S62" s="546"/>
      <c r="T62" s="546"/>
      <c r="U62" s="546"/>
      <c r="V62" s="546"/>
      <c r="W62" s="546"/>
      <c r="X62" s="546"/>
      <c r="Y62" s="546"/>
      <c r="Z62" s="546"/>
      <c r="AA62" s="547"/>
    </row>
    <row r="63" spans="1:27" ht="24" customHeight="1">
      <c r="A63" s="460"/>
      <c r="B63" s="461"/>
      <c r="C63" s="461"/>
      <c r="D63" s="462"/>
      <c r="E63" s="463"/>
      <c r="F63" s="463"/>
      <c r="G63" s="463"/>
      <c r="H63" s="463"/>
      <c r="I63" s="463"/>
      <c r="J63" s="463"/>
      <c r="K63" s="463"/>
      <c r="L63" s="463"/>
      <c r="M63" s="464"/>
      <c r="N63" s="465"/>
      <c r="O63" s="465"/>
      <c r="P63" s="465"/>
      <c r="Q63" s="465"/>
      <c r="R63" s="465"/>
      <c r="S63" s="465"/>
      <c r="T63" s="466"/>
      <c r="U63" s="466"/>
      <c r="V63" s="466"/>
      <c r="W63" s="466"/>
      <c r="X63" s="467"/>
      <c r="Y63" s="467"/>
      <c r="Z63" s="467"/>
      <c r="AA63" s="468"/>
    </row>
    <row r="64" spans="1:27" ht="24" customHeight="1">
      <c r="A64" s="460"/>
      <c r="B64" s="461"/>
      <c r="C64" s="461"/>
      <c r="D64" s="462"/>
      <c r="E64" s="463"/>
      <c r="F64" s="463"/>
      <c r="G64" s="463"/>
      <c r="H64" s="463"/>
      <c r="I64" s="463"/>
      <c r="J64" s="463"/>
      <c r="K64" s="463"/>
      <c r="L64" s="463"/>
      <c r="M64" s="464"/>
      <c r="N64" s="465"/>
      <c r="O64" s="465"/>
      <c r="P64" s="465"/>
      <c r="Q64" s="465"/>
      <c r="R64" s="465"/>
      <c r="S64" s="465"/>
      <c r="T64" s="466"/>
      <c r="U64" s="466"/>
      <c r="V64" s="466"/>
      <c r="W64" s="466"/>
      <c r="X64" s="467"/>
      <c r="Y64" s="467"/>
      <c r="Z64" s="467"/>
      <c r="AA64" s="468"/>
    </row>
    <row r="65" spans="1:27" ht="24" customHeight="1">
      <c r="A65" s="460"/>
      <c r="B65" s="461"/>
      <c r="C65" s="461"/>
      <c r="D65" s="462"/>
      <c r="E65" s="463"/>
      <c r="F65" s="463"/>
      <c r="G65" s="463"/>
      <c r="H65" s="463"/>
      <c r="I65" s="463"/>
      <c r="J65" s="463"/>
      <c r="K65" s="463"/>
      <c r="L65" s="463"/>
      <c r="M65" s="464"/>
      <c r="N65" s="465"/>
      <c r="O65" s="465"/>
      <c r="P65" s="465"/>
      <c r="Q65" s="465"/>
      <c r="R65" s="465"/>
      <c r="S65" s="465"/>
      <c r="T65" s="466"/>
      <c r="U65" s="466"/>
      <c r="V65" s="466"/>
      <c r="W65" s="466"/>
      <c r="X65" s="467"/>
      <c r="Y65" s="467"/>
      <c r="Z65" s="467"/>
      <c r="AA65" s="468"/>
    </row>
    <row r="66" spans="1:27" ht="24" customHeight="1">
      <c r="A66" s="460"/>
      <c r="B66" s="461"/>
      <c r="C66" s="461"/>
      <c r="D66" s="462"/>
      <c r="E66" s="463"/>
      <c r="F66" s="463"/>
      <c r="G66" s="463"/>
      <c r="H66" s="463"/>
      <c r="I66" s="463"/>
      <c r="J66" s="463"/>
      <c r="K66" s="463"/>
      <c r="L66" s="463"/>
      <c r="M66" s="464"/>
      <c r="N66" s="465"/>
      <c r="O66" s="465"/>
      <c r="P66" s="465"/>
      <c r="Q66" s="465"/>
      <c r="R66" s="465"/>
      <c r="S66" s="465"/>
      <c r="T66" s="466"/>
      <c r="U66" s="466"/>
      <c r="V66" s="466"/>
      <c r="W66" s="466"/>
      <c r="X66" s="467"/>
      <c r="Y66" s="467"/>
      <c r="Z66" s="467"/>
      <c r="AA66" s="468"/>
    </row>
    <row r="67" spans="1:27" ht="24" customHeight="1">
      <c r="A67" s="460"/>
      <c r="B67" s="461"/>
      <c r="C67" s="461"/>
      <c r="D67" s="462"/>
      <c r="E67" s="463"/>
      <c r="F67" s="463"/>
      <c r="G67" s="463"/>
      <c r="H67" s="463"/>
      <c r="I67" s="463"/>
      <c r="J67" s="463"/>
      <c r="K67" s="463"/>
      <c r="L67" s="463"/>
      <c r="M67" s="464"/>
      <c r="N67" s="465"/>
      <c r="O67" s="465"/>
      <c r="P67" s="465"/>
      <c r="Q67" s="465"/>
      <c r="R67" s="465"/>
      <c r="S67" s="465"/>
      <c r="T67" s="466"/>
      <c r="U67" s="466"/>
      <c r="V67" s="466"/>
      <c r="W67" s="466"/>
      <c r="X67" s="467"/>
      <c r="Y67" s="467"/>
      <c r="Z67" s="467"/>
      <c r="AA67" s="468"/>
    </row>
    <row r="68" spans="1:27" ht="24" customHeight="1">
      <c r="A68" s="460"/>
      <c r="B68" s="461"/>
      <c r="C68" s="461"/>
      <c r="D68" s="462"/>
      <c r="E68" s="463"/>
      <c r="F68" s="463"/>
      <c r="G68" s="463"/>
      <c r="H68" s="463"/>
      <c r="I68" s="463"/>
      <c r="J68" s="463"/>
      <c r="K68" s="463"/>
      <c r="L68" s="463"/>
      <c r="M68" s="464"/>
      <c r="N68" s="465"/>
      <c r="O68" s="465"/>
      <c r="P68" s="465"/>
      <c r="Q68" s="465"/>
      <c r="R68" s="465"/>
      <c r="S68" s="465"/>
      <c r="T68" s="466"/>
      <c r="U68" s="466"/>
      <c r="V68" s="466"/>
      <c r="W68" s="466"/>
      <c r="X68" s="467"/>
      <c r="Y68" s="467"/>
      <c r="Z68" s="467"/>
      <c r="AA68" s="468"/>
    </row>
    <row r="69" spans="1:27" ht="24" customHeight="1">
      <c r="A69" s="460"/>
      <c r="B69" s="461"/>
      <c r="C69" s="461"/>
      <c r="D69" s="462"/>
      <c r="E69" s="463"/>
      <c r="F69" s="463"/>
      <c r="G69" s="463"/>
      <c r="H69" s="463"/>
      <c r="I69" s="463"/>
      <c r="J69" s="463"/>
      <c r="K69" s="463"/>
      <c r="L69" s="463"/>
      <c r="M69" s="464"/>
      <c r="N69" s="465"/>
      <c r="O69" s="465"/>
      <c r="P69" s="465"/>
      <c r="Q69" s="465"/>
      <c r="R69" s="465"/>
      <c r="S69" s="465"/>
      <c r="T69" s="466"/>
      <c r="U69" s="466"/>
      <c r="V69" s="466"/>
      <c r="W69" s="466"/>
      <c r="X69" s="467"/>
      <c r="Y69" s="467"/>
      <c r="Z69" s="467"/>
      <c r="AA69" s="468"/>
    </row>
    <row r="70" spans="1:27" ht="24" customHeight="1">
      <c r="A70" s="460"/>
      <c r="B70" s="461"/>
      <c r="C70" s="461"/>
      <c r="D70" s="462"/>
      <c r="E70" s="463"/>
      <c r="F70" s="463"/>
      <c r="G70" s="463"/>
      <c r="H70" s="463"/>
      <c r="I70" s="463"/>
      <c r="J70" s="463"/>
      <c r="K70" s="463"/>
      <c r="L70" s="463"/>
      <c r="M70" s="464"/>
      <c r="N70" s="465"/>
      <c r="O70" s="465"/>
      <c r="P70" s="465"/>
      <c r="Q70" s="465"/>
      <c r="R70" s="465"/>
      <c r="S70" s="465"/>
      <c r="T70" s="466"/>
      <c r="U70" s="466"/>
      <c r="V70" s="466"/>
      <c r="W70" s="466"/>
      <c r="X70" s="467"/>
      <c r="Y70" s="467"/>
      <c r="Z70" s="467"/>
      <c r="AA70" s="468"/>
    </row>
    <row r="71" spans="1:27" ht="24" customHeight="1">
      <c r="A71" s="460"/>
      <c r="B71" s="461"/>
      <c r="C71" s="461"/>
      <c r="D71" s="462"/>
      <c r="E71" s="463"/>
      <c r="F71" s="463"/>
      <c r="G71" s="463"/>
      <c r="H71" s="463"/>
      <c r="I71" s="463"/>
      <c r="J71" s="463"/>
      <c r="K71" s="463"/>
      <c r="L71" s="463"/>
      <c r="M71" s="464"/>
      <c r="N71" s="465"/>
      <c r="O71" s="465"/>
      <c r="P71" s="465"/>
      <c r="Q71" s="465"/>
      <c r="R71" s="465"/>
      <c r="S71" s="465"/>
      <c r="T71" s="466"/>
      <c r="U71" s="466"/>
      <c r="V71" s="466"/>
      <c r="W71" s="466"/>
      <c r="X71" s="467"/>
      <c r="Y71" s="467"/>
      <c r="Z71" s="467"/>
      <c r="AA71" s="468"/>
    </row>
    <row r="72" spans="1:27" ht="24" customHeight="1">
      <c r="A72" s="460"/>
      <c r="B72" s="461"/>
      <c r="C72" s="461"/>
      <c r="D72" s="462"/>
      <c r="E72" s="463"/>
      <c r="F72" s="463"/>
      <c r="G72" s="463"/>
      <c r="H72" s="463"/>
      <c r="I72" s="463"/>
      <c r="J72" s="463"/>
      <c r="K72" s="463"/>
      <c r="L72" s="463"/>
      <c r="M72" s="464"/>
      <c r="N72" s="465"/>
      <c r="O72" s="465"/>
      <c r="P72" s="465"/>
      <c r="Q72" s="465"/>
      <c r="R72" s="465"/>
      <c r="S72" s="465"/>
      <c r="T72" s="466"/>
      <c r="U72" s="466"/>
      <c r="V72" s="466"/>
      <c r="W72" s="466"/>
      <c r="X72" s="467"/>
      <c r="Y72" s="467"/>
      <c r="Z72" s="467"/>
      <c r="AA72" s="468"/>
    </row>
    <row r="73" spans="1:27" ht="24" customHeight="1">
      <c r="A73" s="460"/>
      <c r="B73" s="461"/>
      <c r="C73" s="461"/>
      <c r="D73" s="462"/>
      <c r="E73" s="463"/>
      <c r="F73" s="463"/>
      <c r="G73" s="463"/>
      <c r="H73" s="463"/>
      <c r="I73" s="463"/>
      <c r="J73" s="463"/>
      <c r="K73" s="463"/>
      <c r="L73" s="463"/>
      <c r="M73" s="464"/>
      <c r="N73" s="465"/>
      <c r="O73" s="465"/>
      <c r="P73" s="465"/>
      <c r="Q73" s="465"/>
      <c r="R73" s="465"/>
      <c r="S73" s="465"/>
      <c r="T73" s="466"/>
      <c r="U73" s="466"/>
      <c r="V73" s="466"/>
      <c r="W73" s="466"/>
      <c r="X73" s="467"/>
      <c r="Y73" s="467"/>
      <c r="Z73" s="467"/>
      <c r="AA73" s="468"/>
    </row>
    <row r="74" spans="1:27" ht="24" customHeight="1">
      <c r="A74" s="460"/>
      <c r="B74" s="461"/>
      <c r="C74" s="461"/>
      <c r="D74" s="462"/>
      <c r="E74" s="463"/>
      <c r="F74" s="463"/>
      <c r="G74" s="463"/>
      <c r="H74" s="463"/>
      <c r="I74" s="463"/>
      <c r="J74" s="463"/>
      <c r="K74" s="463"/>
      <c r="L74" s="463"/>
      <c r="M74" s="464"/>
      <c r="N74" s="465"/>
      <c r="O74" s="465"/>
      <c r="P74" s="465"/>
      <c r="Q74" s="465"/>
      <c r="R74" s="465"/>
      <c r="S74" s="465"/>
      <c r="T74" s="466"/>
      <c r="U74" s="466"/>
      <c r="V74" s="466"/>
      <c r="W74" s="466"/>
      <c r="X74" s="467"/>
      <c r="Y74" s="467"/>
      <c r="Z74" s="467"/>
      <c r="AA74" s="468"/>
    </row>
    <row r="75" spans="1:27" ht="24" customHeight="1">
      <c r="A75" s="460"/>
      <c r="B75" s="461"/>
      <c r="C75" s="461"/>
      <c r="D75" s="462"/>
      <c r="E75" s="463"/>
      <c r="F75" s="463"/>
      <c r="G75" s="463"/>
      <c r="H75" s="463"/>
      <c r="I75" s="463"/>
      <c r="J75" s="463"/>
      <c r="K75" s="463"/>
      <c r="L75" s="463"/>
      <c r="M75" s="464"/>
      <c r="N75" s="465"/>
      <c r="O75" s="465"/>
      <c r="P75" s="465"/>
      <c r="Q75" s="465"/>
      <c r="R75" s="465"/>
      <c r="S75" s="465"/>
      <c r="T75" s="466"/>
      <c r="U75" s="466"/>
      <c r="V75" s="466"/>
      <c r="W75" s="466"/>
      <c r="X75" s="467"/>
      <c r="Y75" s="467"/>
      <c r="Z75" s="467"/>
      <c r="AA75" s="468"/>
    </row>
    <row r="76" spans="1:27" ht="24" customHeight="1">
      <c r="A76" s="460"/>
      <c r="B76" s="461"/>
      <c r="C76" s="461"/>
      <c r="D76" s="462"/>
      <c r="E76" s="463"/>
      <c r="F76" s="463"/>
      <c r="G76" s="463"/>
      <c r="H76" s="463"/>
      <c r="I76" s="463"/>
      <c r="J76" s="463"/>
      <c r="K76" s="463"/>
      <c r="L76" s="463"/>
      <c r="M76" s="464"/>
      <c r="N76" s="465"/>
      <c r="O76" s="465"/>
      <c r="P76" s="465"/>
      <c r="Q76" s="465"/>
      <c r="R76" s="465"/>
      <c r="S76" s="465"/>
      <c r="T76" s="466"/>
      <c r="U76" s="466"/>
      <c r="V76" s="466"/>
      <c r="W76" s="466"/>
      <c r="X76" s="467"/>
      <c r="Y76" s="467"/>
      <c r="Z76" s="467"/>
      <c r="AA76" s="468"/>
    </row>
    <row r="77" spans="1:27" ht="24" customHeight="1">
      <c r="A77" s="460"/>
      <c r="B77" s="461"/>
      <c r="C77" s="461"/>
      <c r="D77" s="462"/>
      <c r="E77" s="463"/>
      <c r="F77" s="463"/>
      <c r="G77" s="463"/>
      <c r="H77" s="463"/>
      <c r="I77" s="463"/>
      <c r="J77" s="463"/>
      <c r="K77" s="463"/>
      <c r="L77" s="463"/>
      <c r="M77" s="464"/>
      <c r="N77" s="465"/>
      <c r="O77" s="465"/>
      <c r="P77" s="465"/>
      <c r="Q77" s="465"/>
      <c r="R77" s="465"/>
      <c r="S77" s="465"/>
      <c r="T77" s="466"/>
      <c r="U77" s="466"/>
      <c r="V77" s="466"/>
      <c r="W77" s="466"/>
      <c r="X77" s="467"/>
      <c r="Y77" s="467"/>
      <c r="Z77" s="467"/>
      <c r="AA77" s="468"/>
    </row>
    <row r="78" spans="1:27" ht="24" customHeight="1">
      <c r="A78" s="460"/>
      <c r="B78" s="461"/>
      <c r="C78" s="461"/>
      <c r="D78" s="462"/>
      <c r="E78" s="463"/>
      <c r="F78" s="463"/>
      <c r="G78" s="463"/>
      <c r="H78" s="463"/>
      <c r="I78" s="463"/>
      <c r="J78" s="463"/>
      <c r="K78" s="463"/>
      <c r="L78" s="463"/>
      <c r="M78" s="464"/>
      <c r="N78" s="465"/>
      <c r="O78" s="465"/>
      <c r="P78" s="465"/>
      <c r="Q78" s="465"/>
      <c r="R78" s="465"/>
      <c r="S78" s="465"/>
      <c r="T78" s="466"/>
      <c r="U78" s="466"/>
      <c r="V78" s="466"/>
      <c r="W78" s="466"/>
      <c r="X78" s="467"/>
      <c r="Y78" s="467"/>
      <c r="Z78" s="467"/>
      <c r="AA78" s="468"/>
    </row>
    <row r="79" spans="1:27" ht="24" customHeight="1">
      <c r="A79" s="460"/>
      <c r="B79" s="461"/>
      <c r="C79" s="461"/>
      <c r="D79" s="462"/>
      <c r="E79" s="463"/>
      <c r="F79" s="463"/>
      <c r="G79" s="463"/>
      <c r="H79" s="463"/>
      <c r="I79" s="463"/>
      <c r="J79" s="463"/>
      <c r="K79" s="463"/>
      <c r="L79" s="463"/>
      <c r="M79" s="464"/>
      <c r="N79" s="465"/>
      <c r="O79" s="465"/>
      <c r="P79" s="465"/>
      <c r="Q79" s="465"/>
      <c r="R79" s="465"/>
      <c r="S79" s="465"/>
      <c r="T79" s="466"/>
      <c r="U79" s="466"/>
      <c r="V79" s="466"/>
      <c r="W79" s="466"/>
      <c r="X79" s="467"/>
      <c r="Y79" s="467"/>
      <c r="Z79" s="467"/>
      <c r="AA79" s="468"/>
    </row>
    <row r="80" spans="1:27" ht="24" customHeight="1">
      <c r="A80" s="460"/>
      <c r="B80" s="461"/>
      <c r="C80" s="461"/>
      <c r="D80" s="462"/>
      <c r="E80" s="463"/>
      <c r="F80" s="463"/>
      <c r="G80" s="463"/>
      <c r="H80" s="463"/>
      <c r="I80" s="463"/>
      <c r="J80" s="463"/>
      <c r="K80" s="463"/>
      <c r="L80" s="463"/>
      <c r="M80" s="464"/>
      <c r="N80" s="465"/>
      <c r="O80" s="465"/>
      <c r="P80" s="465"/>
      <c r="Q80" s="465"/>
      <c r="R80" s="465"/>
      <c r="S80" s="465"/>
      <c r="T80" s="466"/>
      <c r="U80" s="466"/>
      <c r="V80" s="466"/>
      <c r="W80" s="466"/>
      <c r="X80" s="467"/>
      <c r="Y80" s="467"/>
      <c r="Z80" s="467"/>
      <c r="AA80" s="468"/>
    </row>
    <row r="81" spans="1:27" ht="24" customHeight="1">
      <c r="A81" s="460"/>
      <c r="B81" s="461"/>
      <c r="C81" s="461"/>
      <c r="D81" s="462"/>
      <c r="E81" s="463"/>
      <c r="F81" s="463"/>
      <c r="G81" s="463"/>
      <c r="H81" s="463"/>
      <c r="I81" s="463"/>
      <c r="J81" s="463"/>
      <c r="K81" s="463"/>
      <c r="L81" s="463"/>
      <c r="M81" s="464"/>
      <c r="N81" s="465"/>
      <c r="O81" s="465"/>
      <c r="P81" s="465"/>
      <c r="Q81" s="465"/>
      <c r="R81" s="465"/>
      <c r="S81" s="465"/>
      <c r="T81" s="466"/>
      <c r="U81" s="466"/>
      <c r="V81" s="466"/>
      <c r="W81" s="466"/>
      <c r="X81" s="467"/>
      <c r="Y81" s="467"/>
      <c r="Z81" s="467"/>
      <c r="AA81" s="468"/>
    </row>
    <row r="82" spans="1:27" ht="24" customHeight="1">
      <c r="A82" s="460"/>
      <c r="B82" s="461"/>
      <c r="C82" s="461"/>
      <c r="D82" s="462"/>
      <c r="E82" s="463"/>
      <c r="F82" s="463"/>
      <c r="G82" s="463"/>
      <c r="H82" s="463"/>
      <c r="I82" s="463"/>
      <c r="J82" s="463"/>
      <c r="K82" s="463"/>
      <c r="L82" s="463"/>
      <c r="M82" s="464"/>
      <c r="N82" s="465"/>
      <c r="O82" s="465"/>
      <c r="P82" s="465"/>
      <c r="Q82" s="465"/>
      <c r="R82" s="465"/>
      <c r="S82" s="465"/>
      <c r="T82" s="466"/>
      <c r="U82" s="466"/>
      <c r="V82" s="466"/>
      <c r="W82" s="466"/>
      <c r="X82" s="467"/>
      <c r="Y82" s="467"/>
      <c r="Z82" s="467"/>
      <c r="AA82" s="468"/>
    </row>
    <row r="83" spans="1:27" ht="24" customHeight="1">
      <c r="A83" s="460"/>
      <c r="B83" s="461"/>
      <c r="C83" s="461"/>
      <c r="D83" s="462"/>
      <c r="E83" s="463"/>
      <c r="F83" s="463"/>
      <c r="G83" s="463"/>
      <c r="H83" s="463"/>
      <c r="I83" s="463"/>
      <c r="J83" s="463"/>
      <c r="K83" s="463"/>
      <c r="L83" s="463"/>
      <c r="M83" s="464"/>
      <c r="N83" s="465"/>
      <c r="O83" s="465"/>
      <c r="P83" s="465"/>
      <c r="Q83" s="465"/>
      <c r="R83" s="465"/>
      <c r="S83" s="465"/>
      <c r="T83" s="466"/>
      <c r="U83" s="466"/>
      <c r="V83" s="466"/>
      <c r="W83" s="466"/>
      <c r="X83" s="467"/>
      <c r="Y83" s="467"/>
      <c r="Z83" s="467"/>
      <c r="AA83" s="468"/>
    </row>
    <row r="84" spans="1:27" ht="24" customHeight="1">
      <c r="A84" s="460"/>
      <c r="B84" s="461"/>
      <c r="C84" s="461"/>
      <c r="D84" s="462"/>
      <c r="E84" s="463"/>
      <c r="F84" s="463"/>
      <c r="G84" s="463"/>
      <c r="H84" s="463"/>
      <c r="I84" s="463"/>
      <c r="J84" s="463"/>
      <c r="K84" s="463"/>
      <c r="L84" s="463"/>
      <c r="M84" s="464"/>
      <c r="N84" s="465"/>
      <c r="O84" s="465"/>
      <c r="P84" s="465"/>
      <c r="Q84" s="465"/>
      <c r="R84" s="465"/>
      <c r="S84" s="465"/>
      <c r="T84" s="466"/>
      <c r="U84" s="466"/>
      <c r="V84" s="466"/>
      <c r="W84" s="466"/>
      <c r="X84" s="467"/>
      <c r="Y84" s="467"/>
      <c r="Z84" s="467"/>
      <c r="AA84" s="468"/>
    </row>
    <row r="85" spans="1:27" ht="24" customHeight="1">
      <c r="A85" s="460"/>
      <c r="B85" s="461"/>
      <c r="C85" s="461"/>
      <c r="D85" s="462"/>
      <c r="E85" s="463"/>
      <c r="F85" s="463"/>
      <c r="G85" s="463"/>
      <c r="H85" s="463"/>
      <c r="I85" s="463"/>
      <c r="J85" s="463"/>
      <c r="K85" s="463"/>
      <c r="L85" s="463"/>
      <c r="M85" s="464"/>
      <c r="N85" s="465"/>
      <c r="O85" s="465"/>
      <c r="P85" s="465"/>
      <c r="Q85" s="465"/>
      <c r="R85" s="465"/>
      <c r="S85" s="465"/>
      <c r="T85" s="466"/>
      <c r="U85" s="466"/>
      <c r="V85" s="466"/>
      <c r="W85" s="466"/>
      <c r="X85" s="467"/>
      <c r="Y85" s="467"/>
      <c r="Z85" s="467"/>
      <c r="AA85" s="468"/>
    </row>
    <row r="86" spans="1:27" ht="24" customHeight="1">
      <c r="A86" s="460"/>
      <c r="B86" s="461"/>
      <c r="C86" s="461"/>
      <c r="D86" s="462"/>
      <c r="E86" s="463"/>
      <c r="F86" s="463"/>
      <c r="G86" s="463"/>
      <c r="H86" s="463"/>
      <c r="I86" s="463"/>
      <c r="J86" s="463"/>
      <c r="K86" s="463"/>
      <c r="L86" s="463"/>
      <c r="M86" s="464"/>
      <c r="N86" s="465"/>
      <c r="O86" s="465"/>
      <c r="P86" s="465"/>
      <c r="Q86" s="465"/>
      <c r="R86" s="465"/>
      <c r="S86" s="465"/>
      <c r="T86" s="466"/>
      <c r="U86" s="466"/>
      <c r="V86" s="466"/>
      <c r="W86" s="466"/>
      <c r="X86" s="467"/>
      <c r="Y86" s="467"/>
      <c r="Z86" s="467"/>
      <c r="AA86" s="468"/>
    </row>
    <row r="87" spans="1:27" ht="24" customHeight="1">
      <c r="A87" s="460"/>
      <c r="B87" s="461"/>
      <c r="C87" s="461"/>
      <c r="D87" s="462"/>
      <c r="E87" s="463"/>
      <c r="F87" s="463"/>
      <c r="G87" s="463"/>
      <c r="H87" s="463"/>
      <c r="I87" s="463"/>
      <c r="J87" s="463"/>
      <c r="K87" s="463"/>
      <c r="L87" s="463"/>
      <c r="M87" s="464"/>
      <c r="N87" s="465"/>
      <c r="O87" s="465"/>
      <c r="P87" s="465"/>
      <c r="Q87" s="465"/>
      <c r="R87" s="465"/>
      <c r="S87" s="465"/>
      <c r="T87" s="466"/>
      <c r="U87" s="466"/>
      <c r="V87" s="466"/>
      <c r="W87" s="466"/>
      <c r="X87" s="467"/>
      <c r="Y87" s="467"/>
      <c r="Z87" s="467"/>
      <c r="AA87" s="468"/>
    </row>
    <row r="88" spans="1:27" ht="24" customHeight="1">
      <c r="A88" s="460"/>
      <c r="B88" s="461"/>
      <c r="C88" s="461"/>
      <c r="D88" s="462"/>
      <c r="E88" s="463"/>
      <c r="F88" s="463"/>
      <c r="G88" s="463"/>
      <c r="H88" s="463"/>
      <c r="I88" s="463"/>
      <c r="J88" s="463"/>
      <c r="K88" s="463"/>
      <c r="L88" s="463"/>
      <c r="M88" s="464"/>
      <c r="N88" s="465"/>
      <c r="O88" s="465"/>
      <c r="P88" s="465"/>
      <c r="Q88" s="465"/>
      <c r="R88" s="465"/>
      <c r="S88" s="465"/>
      <c r="T88" s="466"/>
      <c r="U88" s="466"/>
      <c r="V88" s="466"/>
      <c r="W88" s="466"/>
      <c r="X88" s="467"/>
      <c r="Y88" s="467"/>
      <c r="Z88" s="467"/>
      <c r="AA88" s="468"/>
    </row>
    <row r="89" spans="1:27" ht="24" customHeight="1">
      <c r="A89" s="460"/>
      <c r="B89" s="461"/>
      <c r="C89" s="461"/>
      <c r="D89" s="462"/>
      <c r="E89" s="463"/>
      <c r="F89" s="463"/>
      <c r="G89" s="463"/>
      <c r="H89" s="463"/>
      <c r="I89" s="463"/>
      <c r="J89" s="463"/>
      <c r="K89" s="463"/>
      <c r="L89" s="463"/>
      <c r="M89" s="464"/>
      <c r="N89" s="465"/>
      <c r="O89" s="465"/>
      <c r="P89" s="465"/>
      <c r="Q89" s="465"/>
      <c r="R89" s="465"/>
      <c r="S89" s="465"/>
      <c r="T89" s="466"/>
      <c r="U89" s="466"/>
      <c r="V89" s="466"/>
      <c r="W89" s="466"/>
      <c r="X89" s="467"/>
      <c r="Y89" s="467"/>
      <c r="Z89" s="467"/>
      <c r="AA89" s="468"/>
    </row>
    <row r="90" spans="1:27" ht="24" customHeight="1">
      <c r="A90" s="460"/>
      <c r="B90" s="461"/>
      <c r="C90" s="461"/>
      <c r="D90" s="462"/>
      <c r="E90" s="463"/>
      <c r="F90" s="463"/>
      <c r="G90" s="463"/>
      <c r="H90" s="463"/>
      <c r="I90" s="463"/>
      <c r="J90" s="463"/>
      <c r="K90" s="463"/>
      <c r="L90" s="463"/>
      <c r="M90" s="464"/>
      <c r="N90" s="465"/>
      <c r="O90" s="465"/>
      <c r="P90" s="465"/>
      <c r="Q90" s="465"/>
      <c r="R90" s="465"/>
      <c r="S90" s="465"/>
      <c r="T90" s="466"/>
      <c r="U90" s="466"/>
      <c r="V90" s="466"/>
      <c r="W90" s="466"/>
      <c r="X90" s="467"/>
      <c r="Y90" s="467"/>
      <c r="Z90" s="467"/>
      <c r="AA90" s="468"/>
    </row>
    <row r="91" spans="1:27" ht="24" customHeight="1">
      <c r="A91" s="460"/>
      <c r="B91" s="461"/>
      <c r="C91" s="461"/>
      <c r="D91" s="462"/>
      <c r="E91" s="463"/>
      <c r="F91" s="463"/>
      <c r="G91" s="463"/>
      <c r="H91" s="463"/>
      <c r="I91" s="463"/>
      <c r="J91" s="463"/>
      <c r="K91" s="463"/>
      <c r="L91" s="463"/>
      <c r="M91" s="464"/>
      <c r="N91" s="465"/>
      <c r="O91" s="465"/>
      <c r="P91" s="465"/>
      <c r="Q91" s="465"/>
      <c r="R91" s="465"/>
      <c r="S91" s="465"/>
      <c r="T91" s="466"/>
      <c r="U91" s="466"/>
      <c r="V91" s="466"/>
      <c r="W91" s="466"/>
      <c r="X91" s="467"/>
      <c r="Y91" s="467"/>
      <c r="Z91" s="467"/>
      <c r="AA91" s="468"/>
    </row>
    <row r="92" spans="1:27" ht="24" customHeight="1">
      <c r="A92" s="460"/>
      <c r="B92" s="461"/>
      <c r="C92" s="461"/>
      <c r="D92" s="462"/>
      <c r="E92" s="463"/>
      <c r="F92" s="463"/>
      <c r="G92" s="463"/>
      <c r="H92" s="463"/>
      <c r="I92" s="463"/>
      <c r="J92" s="463"/>
      <c r="K92" s="463"/>
      <c r="L92" s="463"/>
      <c r="M92" s="464"/>
      <c r="N92" s="465"/>
      <c r="O92" s="465"/>
      <c r="P92" s="465"/>
      <c r="Q92" s="465"/>
      <c r="R92" s="465"/>
      <c r="S92" s="465"/>
      <c r="T92" s="466"/>
      <c r="U92" s="466"/>
      <c r="V92" s="466"/>
      <c r="W92" s="466"/>
      <c r="X92" s="467"/>
      <c r="Y92" s="467"/>
      <c r="Z92" s="467"/>
      <c r="AA92" s="468"/>
    </row>
    <row r="93" spans="1:27" ht="24" customHeight="1">
      <c r="A93" s="460"/>
      <c r="B93" s="461"/>
      <c r="C93" s="461"/>
      <c r="D93" s="462"/>
      <c r="E93" s="463"/>
      <c r="F93" s="463"/>
      <c r="G93" s="463"/>
      <c r="H93" s="463"/>
      <c r="I93" s="463"/>
      <c r="J93" s="463"/>
      <c r="K93" s="463"/>
      <c r="L93" s="463"/>
      <c r="M93" s="464"/>
      <c r="N93" s="465"/>
      <c r="O93" s="465"/>
      <c r="P93" s="465"/>
      <c r="Q93" s="465"/>
      <c r="R93" s="465"/>
      <c r="S93" s="465"/>
      <c r="T93" s="466"/>
      <c r="U93" s="466"/>
      <c r="V93" s="466"/>
      <c r="W93" s="466"/>
      <c r="X93" s="467"/>
      <c r="Y93" s="467"/>
      <c r="Z93" s="467"/>
      <c r="AA93" s="468"/>
    </row>
    <row r="94" spans="1:27" ht="24" customHeight="1">
      <c r="A94" s="460"/>
      <c r="B94" s="461"/>
      <c r="C94" s="461"/>
      <c r="D94" s="462"/>
      <c r="E94" s="463"/>
      <c r="F94" s="463"/>
      <c r="G94" s="463"/>
      <c r="H94" s="463"/>
      <c r="I94" s="463"/>
      <c r="J94" s="463"/>
      <c r="K94" s="463"/>
      <c r="L94" s="463"/>
      <c r="M94" s="464"/>
      <c r="N94" s="465"/>
      <c r="O94" s="465"/>
      <c r="P94" s="465"/>
      <c r="Q94" s="465"/>
      <c r="R94" s="465"/>
      <c r="S94" s="465"/>
      <c r="T94" s="466"/>
      <c r="U94" s="466"/>
      <c r="V94" s="466"/>
      <c r="W94" s="466"/>
      <c r="X94" s="467"/>
      <c r="Y94" s="467"/>
      <c r="Z94" s="467"/>
      <c r="AA94" s="468"/>
    </row>
    <row r="95" spans="1:27" ht="24" customHeight="1">
      <c r="A95" s="460"/>
      <c r="B95" s="461"/>
      <c r="C95" s="461"/>
      <c r="D95" s="462"/>
      <c r="E95" s="463"/>
      <c r="F95" s="463"/>
      <c r="G95" s="463"/>
      <c r="H95" s="463"/>
      <c r="I95" s="463"/>
      <c r="J95" s="463"/>
      <c r="K95" s="463"/>
      <c r="L95" s="463"/>
      <c r="M95" s="464"/>
      <c r="N95" s="465"/>
      <c r="O95" s="465"/>
      <c r="P95" s="465"/>
      <c r="Q95" s="465"/>
      <c r="R95" s="465"/>
      <c r="S95" s="465"/>
      <c r="T95" s="466"/>
      <c r="U95" s="466"/>
      <c r="V95" s="466"/>
      <c r="W95" s="466"/>
      <c r="X95" s="467"/>
      <c r="Y95" s="467"/>
      <c r="Z95" s="467"/>
      <c r="AA95" s="468"/>
    </row>
    <row r="96" spans="1:27" ht="24" customHeight="1">
      <c r="A96" s="460"/>
      <c r="B96" s="461"/>
      <c r="C96" s="461"/>
      <c r="D96" s="462"/>
      <c r="E96" s="463"/>
      <c r="F96" s="463"/>
      <c r="G96" s="463"/>
      <c r="H96" s="463"/>
      <c r="I96" s="463"/>
      <c r="J96" s="463"/>
      <c r="K96" s="463"/>
      <c r="L96" s="463"/>
      <c r="M96" s="464"/>
      <c r="N96" s="465"/>
      <c r="O96" s="465"/>
      <c r="P96" s="465"/>
      <c r="Q96" s="465"/>
      <c r="R96" s="465"/>
      <c r="S96" s="465"/>
      <c r="T96" s="466"/>
      <c r="U96" s="466"/>
      <c r="V96" s="466"/>
      <c r="W96" s="466"/>
      <c r="X96" s="467"/>
      <c r="Y96" s="467"/>
      <c r="Z96" s="467"/>
      <c r="AA96" s="468"/>
    </row>
    <row r="97" spans="1:27" ht="24" customHeight="1">
      <c r="A97" s="460"/>
      <c r="B97" s="461"/>
      <c r="C97" s="461"/>
      <c r="D97" s="462"/>
      <c r="E97" s="463"/>
      <c r="F97" s="463"/>
      <c r="G97" s="463"/>
      <c r="H97" s="463"/>
      <c r="I97" s="463"/>
      <c r="J97" s="463"/>
      <c r="K97" s="463"/>
      <c r="L97" s="463"/>
      <c r="M97" s="464"/>
      <c r="N97" s="465"/>
      <c r="O97" s="465"/>
      <c r="P97" s="465"/>
      <c r="Q97" s="465"/>
      <c r="R97" s="465"/>
      <c r="S97" s="465"/>
      <c r="T97" s="466"/>
      <c r="U97" s="466"/>
      <c r="V97" s="466"/>
      <c r="W97" s="466"/>
      <c r="X97" s="467"/>
      <c r="Y97" s="467"/>
      <c r="Z97" s="467"/>
      <c r="AA97" s="468"/>
    </row>
    <row r="98" spans="1:27" ht="12.75" customHeight="1">
      <c r="A98" s="505" t="s">
        <v>40</v>
      </c>
      <c r="B98" s="506"/>
      <c r="C98" s="506"/>
      <c r="D98" s="506"/>
      <c r="E98" s="506"/>
      <c r="F98" s="506"/>
      <c r="G98" s="506"/>
      <c r="H98" s="506"/>
      <c r="I98" s="506"/>
      <c r="J98" s="506"/>
      <c r="K98" s="506"/>
      <c r="L98" s="506"/>
      <c r="M98" s="507"/>
      <c r="N98" s="465">
        <f>SUM(N22:P97)</f>
        <v>229900000</v>
      </c>
      <c r="O98" s="465"/>
      <c r="P98" s="465"/>
      <c r="Q98" s="465">
        <f>SUM(Q22:S97)</f>
        <v>0</v>
      </c>
      <c r="R98" s="465"/>
      <c r="S98" s="465"/>
      <c r="T98" s="166"/>
      <c r="U98" s="166"/>
      <c r="V98" s="166"/>
      <c r="W98" s="166"/>
      <c r="X98" s="166"/>
      <c r="Y98" s="166"/>
      <c r="Z98" s="166"/>
      <c r="AA98" s="504"/>
    </row>
    <row r="99" spans="1:27" ht="11.25" customHeight="1">
      <c r="A99" s="501" t="s">
        <v>44</v>
      </c>
      <c r="B99" s="502"/>
      <c r="C99" s="502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03" t="s">
        <v>68</v>
      </c>
      <c r="Q99" s="503"/>
      <c r="R99" s="503"/>
      <c r="S99" s="503"/>
      <c r="T99" s="503"/>
      <c r="U99" s="503"/>
      <c r="V99" s="467">
        <f>Q98/N98</f>
        <v>0</v>
      </c>
      <c r="W99" s="467"/>
      <c r="X99" s="467"/>
      <c r="Y99" s="467">
        <f>V99</f>
        <v>0</v>
      </c>
      <c r="Z99" s="467"/>
      <c r="AA99" s="468"/>
    </row>
    <row r="100" spans="1:27" ht="12" customHeight="1">
      <c r="A100" s="497" t="s">
        <v>62</v>
      </c>
      <c r="B100" s="498"/>
      <c r="C100" s="498"/>
      <c r="D100" s="498" t="s">
        <v>63</v>
      </c>
      <c r="E100" s="498"/>
      <c r="F100" s="498"/>
      <c r="G100" s="498"/>
      <c r="H100" s="498"/>
      <c r="I100" s="498"/>
      <c r="J100" s="498"/>
      <c r="K100" s="498"/>
      <c r="L100" s="498"/>
      <c r="M100" s="498"/>
      <c r="N100" s="499" t="s">
        <v>64</v>
      </c>
      <c r="O100" s="499"/>
      <c r="P100" s="499"/>
      <c r="Q100" s="500" t="s">
        <v>65</v>
      </c>
      <c r="R100" s="500"/>
      <c r="S100" s="500"/>
      <c r="T100" s="491" t="s">
        <v>66</v>
      </c>
      <c r="U100" s="491"/>
      <c r="V100" s="491"/>
      <c r="W100" s="491"/>
      <c r="X100" s="491"/>
      <c r="Y100" s="491"/>
      <c r="Z100" s="491"/>
      <c r="AA100" s="492"/>
    </row>
    <row r="101" spans="1:27" ht="11.25" customHeight="1">
      <c r="A101" s="495" t="str">
        <f>TEXT(Bilgiler!D13,"GG.AA.YYYY")</f>
        <v>00.01.1900</v>
      </c>
      <c r="B101" s="496"/>
      <c r="C101" s="496"/>
      <c r="D101" s="488">
        <f>Q98</f>
        <v>0</v>
      </c>
      <c r="E101" s="489"/>
      <c r="F101" s="489"/>
      <c r="G101" s="489"/>
      <c r="H101" s="489"/>
      <c r="I101" s="489"/>
      <c r="J101" s="489"/>
      <c r="K101" s="489"/>
      <c r="L101" s="489"/>
      <c r="M101" s="489"/>
      <c r="N101" s="490"/>
      <c r="O101" s="490"/>
      <c r="P101" s="490"/>
      <c r="Q101" s="490">
        <f>D101*0.18</f>
        <v>0</v>
      </c>
      <c r="R101" s="490"/>
      <c r="S101" s="490"/>
      <c r="T101" s="490">
        <f>D101+N101+Q101</f>
        <v>0</v>
      </c>
      <c r="U101" s="493"/>
      <c r="V101" s="493"/>
      <c r="W101" s="493"/>
      <c r="X101" s="493"/>
      <c r="Y101" s="493"/>
      <c r="Z101" s="493"/>
      <c r="AA101" s="494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E2" sqref="E2:W2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611"/>
      <c r="B1" s="612"/>
      <c r="C1" s="612"/>
      <c r="D1" s="612"/>
      <c r="E1" s="549">
        <f>Bilgiler!D1</f>
        <v>0</v>
      </c>
      <c r="F1" s="549"/>
      <c r="G1" s="549"/>
      <c r="H1" s="549"/>
      <c r="I1" s="549"/>
      <c r="J1" s="549"/>
      <c r="K1" s="549"/>
      <c r="L1" s="549"/>
      <c r="M1" s="549"/>
      <c r="N1" s="549"/>
      <c r="O1" s="549"/>
      <c r="P1" s="549"/>
      <c r="Q1" s="549"/>
      <c r="R1" s="549"/>
      <c r="S1" s="549"/>
      <c r="T1" s="549"/>
      <c r="U1" s="549"/>
      <c r="V1" s="549"/>
      <c r="W1" s="549"/>
      <c r="X1" s="613" t="s">
        <v>18</v>
      </c>
      <c r="Y1" s="613"/>
      <c r="Z1" s="613"/>
      <c r="AA1" s="18">
        <v>2</v>
      </c>
    </row>
    <row r="2" spans="1:28" ht="15" customHeight="1">
      <c r="A2" s="426"/>
      <c r="B2" s="427"/>
      <c r="C2" s="427"/>
      <c r="D2" s="427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  <c r="P2" s="602"/>
      <c r="Q2" s="602"/>
      <c r="R2" s="602"/>
      <c r="S2" s="602"/>
      <c r="T2" s="602"/>
      <c r="U2" s="602"/>
      <c r="V2" s="602"/>
      <c r="W2" s="602"/>
      <c r="AA2" s="19"/>
    </row>
    <row r="3" spans="1:28" ht="15" customHeight="1">
      <c r="A3" s="426"/>
      <c r="B3" s="427"/>
      <c r="C3" s="427"/>
      <c r="D3" s="427"/>
      <c r="E3" s="602"/>
      <c r="F3" s="614"/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  <c r="S3" s="614"/>
      <c r="T3" s="614"/>
      <c r="U3" s="614"/>
      <c r="V3" s="614"/>
      <c r="W3" s="614"/>
      <c r="AA3" s="19"/>
    </row>
    <row r="4" spans="1:28" ht="23.25" customHeight="1">
      <c r="A4" s="601" t="s">
        <v>19</v>
      </c>
      <c r="B4" s="602"/>
      <c r="C4" s="602"/>
      <c r="D4" s="602"/>
      <c r="E4" s="603">
        <f>Bilgiler!D2</f>
        <v>0</v>
      </c>
      <c r="F4" s="603"/>
      <c r="G4" s="603"/>
      <c r="H4" s="603"/>
      <c r="I4" s="603"/>
      <c r="J4" s="603"/>
      <c r="K4" s="603"/>
      <c r="L4" s="603"/>
      <c r="M4" s="603"/>
      <c r="N4" s="603"/>
      <c r="O4" s="603"/>
      <c r="P4" s="603"/>
      <c r="Q4" s="603"/>
      <c r="R4" s="603"/>
      <c r="S4" s="603"/>
      <c r="T4" s="603"/>
      <c r="U4" s="603"/>
      <c r="V4" s="603"/>
      <c r="W4" s="603"/>
      <c r="X4" s="603"/>
      <c r="Y4" s="603"/>
      <c r="Z4" s="603"/>
      <c r="AA4" s="604"/>
    </row>
    <row r="5" spans="1:28" ht="12" customHeight="1">
      <c r="A5" s="605" t="s">
        <v>70</v>
      </c>
      <c r="B5" s="606"/>
      <c r="C5" s="606"/>
      <c r="D5" s="606"/>
      <c r="E5" s="606"/>
      <c r="F5" s="606"/>
      <c r="G5" s="606"/>
      <c r="H5" s="606"/>
      <c r="I5" s="606"/>
      <c r="J5" s="606"/>
      <c r="K5" s="607"/>
      <c r="L5" s="608" t="s">
        <v>69</v>
      </c>
      <c r="M5" s="606"/>
      <c r="N5" s="606"/>
      <c r="O5" s="606"/>
      <c r="P5" s="606"/>
      <c r="Q5" s="606"/>
      <c r="R5" s="606"/>
      <c r="S5" s="606"/>
      <c r="T5" s="609"/>
      <c r="U5" s="609"/>
      <c r="V5" s="609"/>
      <c r="W5" s="609"/>
      <c r="X5" s="609"/>
      <c r="Y5" s="609"/>
      <c r="Z5" s="609"/>
      <c r="AA5" s="610"/>
    </row>
    <row r="6" spans="1:28" ht="12" customHeight="1">
      <c r="A6" s="595" t="s">
        <v>174</v>
      </c>
      <c r="B6" s="596"/>
      <c r="C6" s="596"/>
      <c r="D6" s="596"/>
      <c r="E6" s="596"/>
      <c r="F6" s="596"/>
      <c r="G6" s="596"/>
      <c r="H6" s="596"/>
      <c r="I6" s="597">
        <f>'İş Takip-Ön Yüz'!G14</f>
        <v>0</v>
      </c>
      <c r="J6" s="598"/>
      <c r="K6" s="598"/>
      <c r="L6" s="598"/>
      <c r="M6" s="598"/>
      <c r="N6" s="598"/>
      <c r="O6" s="598"/>
      <c r="P6" s="598"/>
      <c r="Q6" s="598"/>
      <c r="R6" s="598"/>
      <c r="S6" s="598"/>
      <c r="T6" s="598"/>
      <c r="U6" s="598"/>
      <c r="V6" s="598"/>
      <c r="W6" s="598"/>
      <c r="X6" s="598"/>
      <c r="Y6" s="598"/>
      <c r="Z6" s="598"/>
      <c r="AA6" s="599"/>
    </row>
    <row r="7" spans="1:28" ht="12" customHeight="1">
      <c r="A7" s="600"/>
      <c r="B7" s="598"/>
      <c r="C7" s="598"/>
      <c r="D7" s="598"/>
      <c r="E7" s="598"/>
      <c r="F7" s="598"/>
      <c r="G7" s="598"/>
      <c r="H7" s="598"/>
      <c r="I7" s="598"/>
      <c r="J7" s="598"/>
      <c r="K7" s="598"/>
      <c r="L7" s="598"/>
      <c r="M7" s="598"/>
      <c r="N7" s="598"/>
      <c r="O7" s="598"/>
      <c r="P7" s="598"/>
      <c r="Q7" s="598"/>
      <c r="R7" s="598"/>
      <c r="S7" s="598"/>
      <c r="T7" s="598"/>
      <c r="U7" s="598"/>
      <c r="V7" s="598"/>
      <c r="W7" s="598"/>
      <c r="X7" s="598"/>
      <c r="Y7" s="598"/>
      <c r="Z7" s="598"/>
      <c r="AA7" s="599"/>
    </row>
    <row r="8" spans="1:28" ht="12" customHeight="1">
      <c r="A8" s="589"/>
      <c r="B8" s="590"/>
      <c r="C8" s="590"/>
      <c r="D8" s="590"/>
      <c r="E8" s="590"/>
      <c r="F8" s="590"/>
      <c r="G8" s="590"/>
      <c r="H8" s="590"/>
      <c r="I8" s="590"/>
      <c r="J8" s="590"/>
      <c r="K8" s="590"/>
      <c r="L8" s="590"/>
      <c r="M8" s="590"/>
      <c r="N8" s="590"/>
      <c r="O8" s="590"/>
      <c r="P8" s="590"/>
      <c r="Q8" s="590"/>
      <c r="R8" s="590"/>
      <c r="S8" s="590"/>
      <c r="T8" s="590"/>
      <c r="U8" s="590"/>
      <c r="V8" s="590"/>
      <c r="W8" s="590"/>
      <c r="X8" s="590"/>
      <c r="Y8" s="590"/>
      <c r="Z8" s="590"/>
      <c r="AA8" s="591"/>
    </row>
    <row r="9" spans="1:28" ht="12" customHeight="1">
      <c r="A9" s="592" t="s">
        <v>186</v>
      </c>
      <c r="B9" s="574"/>
      <c r="C9" s="574"/>
      <c r="D9" s="574"/>
      <c r="E9" s="574"/>
      <c r="F9" s="574"/>
      <c r="G9" s="574"/>
      <c r="H9" s="574"/>
      <c r="I9" s="574"/>
      <c r="J9" s="574"/>
      <c r="K9" s="574"/>
      <c r="L9" s="574"/>
      <c r="M9" s="574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93"/>
    </row>
    <row r="10" spans="1:28" ht="12" customHeight="1">
      <c r="A10" s="592" t="s">
        <v>71</v>
      </c>
      <c r="B10" s="574"/>
      <c r="C10" s="574"/>
      <c r="D10" s="574"/>
      <c r="E10" s="574"/>
      <c r="F10" s="574"/>
      <c r="G10" s="574"/>
      <c r="H10" s="594">
        <v>2025</v>
      </c>
      <c r="I10" s="594"/>
      <c r="J10" s="594"/>
      <c r="K10" s="594"/>
      <c r="L10" s="574">
        <v>2026</v>
      </c>
      <c r="M10" s="574"/>
      <c r="N10" s="574"/>
      <c r="O10" s="574"/>
      <c r="P10" s="524"/>
      <c r="Q10" s="524"/>
      <c r="R10" s="524"/>
      <c r="S10" s="524"/>
      <c r="T10" s="524"/>
      <c r="U10" s="524"/>
      <c r="V10" s="524"/>
      <c r="W10" s="524"/>
      <c r="X10" s="524"/>
      <c r="Y10" s="524"/>
      <c r="Z10" s="524"/>
      <c r="AA10" s="525"/>
    </row>
    <row r="11" spans="1:28" ht="12" customHeight="1">
      <c r="A11" s="586" t="s">
        <v>72</v>
      </c>
      <c r="B11" s="587"/>
      <c r="C11" s="587"/>
      <c r="D11" s="587"/>
      <c r="E11" s="587"/>
      <c r="F11" s="587"/>
      <c r="G11" s="587"/>
      <c r="H11" s="541">
        <f>'İş Takip-Ön Yüz'!G14</f>
        <v>0</v>
      </c>
      <c r="I11" s="524"/>
      <c r="J11" s="524"/>
      <c r="K11" s="524"/>
      <c r="L11" s="524"/>
      <c r="M11" s="524"/>
      <c r="N11" s="524"/>
      <c r="O11" s="524"/>
      <c r="P11" s="524"/>
      <c r="Q11" s="524"/>
      <c r="R11" s="524"/>
      <c r="S11" s="524"/>
      <c r="T11" s="524"/>
      <c r="U11" s="524"/>
      <c r="V11" s="524"/>
      <c r="W11" s="524"/>
      <c r="X11" s="524"/>
      <c r="Y11" s="524"/>
      <c r="Z11" s="524"/>
      <c r="AA11" s="525"/>
    </row>
    <row r="12" spans="1:28" ht="12" customHeight="1">
      <c r="A12" s="586" t="s">
        <v>73</v>
      </c>
      <c r="B12" s="587"/>
      <c r="C12" s="587"/>
      <c r="D12" s="587"/>
      <c r="E12" s="587"/>
      <c r="F12" s="587"/>
      <c r="G12" s="587"/>
      <c r="H12" s="541">
        <f>'Arka Kapak'!D4</f>
        <v>0</v>
      </c>
      <c r="I12" s="541"/>
      <c r="J12" s="541"/>
      <c r="K12" s="541"/>
      <c r="L12" s="524"/>
      <c r="M12" s="524"/>
      <c r="N12" s="524"/>
      <c r="O12" s="524"/>
      <c r="P12" s="524"/>
      <c r="Q12" s="524"/>
      <c r="R12" s="524"/>
      <c r="S12" s="524"/>
      <c r="T12" s="524"/>
      <c r="U12" s="524"/>
      <c r="V12" s="524"/>
      <c r="W12" s="524"/>
      <c r="X12" s="524"/>
      <c r="Y12" s="524"/>
      <c r="Z12" s="524"/>
      <c r="AA12" s="525"/>
    </row>
    <row r="13" spans="1:28" ht="12" customHeight="1">
      <c r="A13" s="586" t="s">
        <v>74</v>
      </c>
      <c r="B13" s="587"/>
      <c r="C13" s="587"/>
      <c r="D13" s="587"/>
      <c r="E13" s="587"/>
      <c r="F13" s="587"/>
      <c r="G13" s="587"/>
      <c r="H13" s="588" t="e">
        <f>H12/H11</f>
        <v>#DIV/0!</v>
      </c>
      <c r="I13" s="588"/>
      <c r="J13" s="588"/>
      <c r="K13" s="588"/>
      <c r="L13" s="524"/>
      <c r="M13" s="524"/>
      <c r="N13" s="524"/>
      <c r="O13" s="524"/>
      <c r="P13" s="524"/>
      <c r="Q13" s="524"/>
      <c r="R13" s="524"/>
      <c r="S13" s="524"/>
      <c r="T13" s="524"/>
      <c r="U13" s="524"/>
      <c r="V13" s="524"/>
      <c r="W13" s="524"/>
      <c r="X13" s="524"/>
      <c r="Y13" s="524"/>
      <c r="Z13" s="524"/>
      <c r="AA13" s="525"/>
    </row>
    <row r="14" spans="1:28" ht="24" customHeight="1">
      <c r="A14" s="582" t="s">
        <v>79</v>
      </c>
      <c r="B14" s="583"/>
      <c r="C14" s="583"/>
      <c r="D14" s="583"/>
      <c r="E14" s="583"/>
      <c r="F14" s="583"/>
      <c r="G14" s="583"/>
      <c r="H14" s="583"/>
      <c r="I14" s="583"/>
      <c r="J14" s="583"/>
      <c r="K14" s="583"/>
      <c r="L14" s="584" t="s">
        <v>75</v>
      </c>
      <c r="M14" s="584"/>
      <c r="N14" s="584"/>
      <c r="O14" s="584"/>
      <c r="P14" s="584" t="s">
        <v>76</v>
      </c>
      <c r="Q14" s="584"/>
      <c r="R14" s="584"/>
      <c r="S14" s="584"/>
      <c r="T14" s="583" t="s">
        <v>77</v>
      </c>
      <c r="U14" s="583"/>
      <c r="V14" s="583"/>
      <c r="W14" s="583"/>
      <c r="X14" s="583" t="s">
        <v>78</v>
      </c>
      <c r="Y14" s="583"/>
      <c r="Z14" s="583"/>
      <c r="AA14" s="585"/>
      <c r="AB14" s="21"/>
    </row>
    <row r="15" spans="1:28" ht="24" customHeight="1">
      <c r="A15" s="577" t="str">
        <f>BFTC!C5</f>
        <v>Sayaç Endekslerinin Okunması, Mobil Okuma Cihazı İle Tespiti ve Makbuz Dağıtılması İşlemi</v>
      </c>
      <c r="B15" s="578"/>
      <c r="C15" s="578"/>
      <c r="D15" s="578"/>
      <c r="E15" s="578"/>
      <c r="F15" s="578"/>
      <c r="G15" s="578"/>
      <c r="H15" s="578"/>
      <c r="I15" s="578"/>
      <c r="J15" s="578"/>
      <c r="K15" s="579"/>
      <c r="L15" s="246">
        <f>BFTC!E5</f>
        <v>1000000</v>
      </c>
      <c r="M15" s="247"/>
      <c r="N15" s="247"/>
      <c r="O15" s="247"/>
      <c r="P15" s="246">
        <f>L15</f>
        <v>1000000</v>
      </c>
      <c r="Q15" s="247"/>
      <c r="R15" s="247"/>
      <c r="S15" s="247"/>
      <c r="T15" s="246">
        <f>Çarşaf!AJ14</f>
        <v>0</v>
      </c>
      <c r="U15" s="247"/>
      <c r="V15" s="247"/>
      <c r="W15" s="247"/>
      <c r="X15" s="246">
        <f>L15-T15</f>
        <v>1000000</v>
      </c>
      <c r="Y15" s="247"/>
      <c r="Z15" s="247"/>
      <c r="AA15" s="581"/>
      <c r="AB15" s="21"/>
    </row>
    <row r="16" spans="1:28" ht="24" customHeight="1">
      <c r="A16" s="577" t="str">
        <f>BFTC!C6</f>
        <v>Sayaç Endekslerinin Yerinde Yapılan Kontrollerde Tespit Edilememesi (kıyas okuma veya evde yok okuma) İşlemi</v>
      </c>
      <c r="B16" s="578"/>
      <c r="C16" s="578"/>
      <c r="D16" s="578"/>
      <c r="E16" s="578"/>
      <c r="F16" s="578"/>
      <c r="G16" s="578"/>
      <c r="H16" s="578"/>
      <c r="I16" s="578"/>
      <c r="J16" s="578"/>
      <c r="K16" s="579"/>
      <c r="L16" s="246">
        <f>BFTC!E6</f>
        <v>50000</v>
      </c>
      <c r="M16" s="247"/>
      <c r="N16" s="247"/>
      <c r="O16" s="247"/>
      <c r="P16" s="246">
        <f t="shared" ref="P16:P21" si="0">L16</f>
        <v>50000</v>
      </c>
      <c r="Q16" s="247"/>
      <c r="R16" s="247"/>
      <c r="S16" s="247"/>
      <c r="T16" s="246">
        <f>Çarşaf!AJ15</f>
        <v>0</v>
      </c>
      <c r="U16" s="247"/>
      <c r="V16" s="247"/>
      <c r="W16" s="247"/>
      <c r="X16" s="246">
        <f t="shared" ref="X16:X21" si="1">L16-T16</f>
        <v>50000</v>
      </c>
      <c r="Y16" s="247"/>
      <c r="Z16" s="247"/>
      <c r="AA16" s="581"/>
      <c r="AB16" s="21"/>
    </row>
    <row r="17" spans="1:28" ht="24" customHeight="1">
      <c r="A17" s="577" t="str">
        <f>BFTC!C7</f>
        <v>Mühürsüz Sayaçların Mühürlemesi</v>
      </c>
      <c r="B17" s="578"/>
      <c r="C17" s="578"/>
      <c r="D17" s="578"/>
      <c r="E17" s="578"/>
      <c r="F17" s="578"/>
      <c r="G17" s="578"/>
      <c r="H17" s="578"/>
      <c r="I17" s="578"/>
      <c r="J17" s="578"/>
      <c r="K17" s="579"/>
      <c r="L17" s="246">
        <f>BFTC!E7</f>
        <v>20000</v>
      </c>
      <c r="M17" s="247"/>
      <c r="N17" s="247"/>
      <c r="O17" s="247"/>
      <c r="P17" s="246">
        <f t="shared" si="0"/>
        <v>20000</v>
      </c>
      <c r="Q17" s="247"/>
      <c r="R17" s="247"/>
      <c r="S17" s="247"/>
      <c r="T17" s="246">
        <f>Çarşaf!AJ16</f>
        <v>0</v>
      </c>
      <c r="U17" s="247"/>
      <c r="V17" s="247"/>
      <c r="W17" s="247"/>
      <c r="X17" s="246">
        <f t="shared" si="1"/>
        <v>20000</v>
      </c>
      <c r="Y17" s="247"/>
      <c r="Z17" s="247"/>
      <c r="AA17" s="581"/>
      <c r="AB17" s="21"/>
    </row>
    <row r="18" spans="1:28" ht="24" customHeight="1">
      <c r="A18" s="577" t="str">
        <f>BFTC!C8</f>
        <v>Sayaç Sökme ve Sayaç Takma</v>
      </c>
      <c r="B18" s="578"/>
      <c r="C18" s="578"/>
      <c r="D18" s="578"/>
      <c r="E18" s="578"/>
      <c r="F18" s="578"/>
      <c r="G18" s="578"/>
      <c r="H18" s="578"/>
      <c r="I18" s="578"/>
      <c r="J18" s="578"/>
      <c r="K18" s="579"/>
      <c r="L18" s="246">
        <f>BFTC!E8</f>
        <v>40000</v>
      </c>
      <c r="M18" s="247"/>
      <c r="N18" s="247"/>
      <c r="O18" s="247"/>
      <c r="P18" s="246">
        <f t="shared" si="0"/>
        <v>40000</v>
      </c>
      <c r="Q18" s="247"/>
      <c r="R18" s="247"/>
      <c r="S18" s="247"/>
      <c r="T18" s="246">
        <f>Çarşaf!AJ17</f>
        <v>0</v>
      </c>
      <c r="U18" s="247"/>
      <c r="V18" s="247"/>
      <c r="W18" s="247"/>
      <c r="X18" s="246">
        <f t="shared" si="1"/>
        <v>40000</v>
      </c>
      <c r="Y18" s="247"/>
      <c r="Z18" s="247"/>
      <c r="AA18" s="581"/>
      <c r="AB18" s="21"/>
    </row>
    <row r="19" spans="1:28" ht="24" customHeight="1">
      <c r="A19" s="577" t="str">
        <f>BFTC!C9</f>
        <v>Su Kapama veya Su Açma</v>
      </c>
      <c r="B19" s="578"/>
      <c r="C19" s="578"/>
      <c r="D19" s="578"/>
      <c r="E19" s="578"/>
      <c r="F19" s="578"/>
      <c r="G19" s="578"/>
      <c r="H19" s="578"/>
      <c r="I19" s="578"/>
      <c r="J19" s="578"/>
      <c r="K19" s="579"/>
      <c r="L19" s="246">
        <f>BFTC!E9</f>
        <v>140000</v>
      </c>
      <c r="M19" s="247"/>
      <c r="N19" s="247"/>
      <c r="O19" s="247"/>
      <c r="P19" s="246">
        <f t="shared" si="0"/>
        <v>140000</v>
      </c>
      <c r="Q19" s="247"/>
      <c r="R19" s="247"/>
      <c r="S19" s="247"/>
      <c r="T19" s="246">
        <f>Çarşaf!AJ18</f>
        <v>0</v>
      </c>
      <c r="U19" s="247"/>
      <c r="V19" s="247"/>
      <c r="W19" s="247"/>
      <c r="X19" s="246">
        <f t="shared" si="1"/>
        <v>140000</v>
      </c>
      <c r="Y19" s="247"/>
      <c r="Z19" s="247"/>
      <c r="AA19" s="581"/>
    </row>
    <row r="20" spans="1:28" ht="24" customHeight="1">
      <c r="A20" s="577" t="str">
        <f>BFTC!C10</f>
        <v>Sayaç Alımı (Teknik Şartnamede Özellikleri Belirtilen) DN20 190 MM</v>
      </c>
      <c r="B20" s="578"/>
      <c r="C20" s="578"/>
      <c r="D20" s="578"/>
      <c r="E20" s="578"/>
      <c r="F20" s="578"/>
      <c r="G20" s="578"/>
      <c r="H20" s="578"/>
      <c r="I20" s="578"/>
      <c r="J20" s="578"/>
      <c r="K20" s="579"/>
      <c r="L20" s="246">
        <f>BFTC!E10</f>
        <v>15000</v>
      </c>
      <c r="M20" s="247"/>
      <c r="N20" s="247"/>
      <c r="O20" s="247"/>
      <c r="P20" s="246">
        <f t="shared" si="0"/>
        <v>15000</v>
      </c>
      <c r="Q20" s="247"/>
      <c r="R20" s="247"/>
      <c r="S20" s="247"/>
      <c r="T20" s="246">
        <f>Çarşaf!AJ19</f>
        <v>0</v>
      </c>
      <c r="U20" s="247"/>
      <c r="V20" s="247"/>
      <c r="W20" s="247"/>
      <c r="X20" s="246">
        <f t="shared" si="1"/>
        <v>15000</v>
      </c>
      <c r="Y20" s="247"/>
      <c r="Z20" s="247"/>
      <c r="AA20" s="581"/>
    </row>
    <row r="21" spans="1:28" ht="24" customHeight="1">
      <c r="A21" s="577" t="str">
        <f>BFTC!C11</f>
        <v>İçme Suyu Hatlarında Sayaçlı Abonesiz, Sayaçsız ve Kaçak Kullanımın Tespit Edilmesi ve Raporlanması</v>
      </c>
      <c r="B21" s="578"/>
      <c r="C21" s="578"/>
      <c r="D21" s="578"/>
      <c r="E21" s="578"/>
      <c r="F21" s="578"/>
      <c r="G21" s="578"/>
      <c r="H21" s="578"/>
      <c r="I21" s="578"/>
      <c r="J21" s="578"/>
      <c r="K21" s="579"/>
      <c r="L21" s="246">
        <f>BFTC!E11</f>
        <v>7500</v>
      </c>
      <c r="M21" s="247"/>
      <c r="N21" s="247"/>
      <c r="O21" s="247"/>
      <c r="P21" s="246">
        <f t="shared" si="0"/>
        <v>7500</v>
      </c>
      <c r="Q21" s="247"/>
      <c r="R21" s="247"/>
      <c r="S21" s="247"/>
      <c r="T21" s="246">
        <f>Çarşaf!AJ20</f>
        <v>0</v>
      </c>
      <c r="U21" s="247"/>
      <c r="V21" s="247"/>
      <c r="W21" s="247"/>
      <c r="X21" s="246">
        <f t="shared" si="1"/>
        <v>7500</v>
      </c>
      <c r="Y21" s="247"/>
      <c r="Z21" s="247"/>
      <c r="AA21" s="581"/>
    </row>
    <row r="22" spans="1:28" ht="24" customHeight="1">
      <c r="A22" s="577"/>
      <c r="B22" s="578"/>
      <c r="C22" s="578"/>
      <c r="D22" s="578"/>
      <c r="E22" s="578"/>
      <c r="F22" s="578"/>
      <c r="G22" s="578"/>
      <c r="H22" s="578"/>
      <c r="I22" s="578"/>
      <c r="J22" s="578"/>
      <c r="K22" s="579"/>
      <c r="L22" s="414"/>
      <c r="M22" s="160"/>
      <c r="N22" s="160"/>
      <c r="O22" s="160"/>
      <c r="P22" s="414"/>
      <c r="Q22" s="160"/>
      <c r="R22" s="160"/>
      <c r="S22" s="160"/>
      <c r="T22" s="414"/>
      <c r="U22" s="160"/>
      <c r="V22" s="160"/>
      <c r="W22" s="160"/>
      <c r="X22" s="414"/>
      <c r="Y22" s="160"/>
      <c r="Z22" s="160"/>
      <c r="AA22" s="580"/>
    </row>
    <row r="23" spans="1:28" ht="24" customHeight="1">
      <c r="A23" s="577"/>
      <c r="B23" s="578"/>
      <c r="C23" s="578"/>
      <c r="D23" s="578"/>
      <c r="E23" s="578"/>
      <c r="F23" s="578"/>
      <c r="G23" s="578"/>
      <c r="H23" s="578"/>
      <c r="I23" s="578"/>
      <c r="J23" s="578"/>
      <c r="K23" s="579"/>
      <c r="L23" s="414"/>
      <c r="M23" s="160"/>
      <c r="N23" s="160"/>
      <c r="O23" s="160"/>
      <c r="P23" s="414"/>
      <c r="Q23" s="160"/>
      <c r="R23" s="160"/>
      <c r="S23" s="160"/>
      <c r="T23" s="414"/>
      <c r="U23" s="160"/>
      <c r="V23" s="160"/>
      <c r="W23" s="160"/>
      <c r="X23" s="414"/>
      <c r="Y23" s="160"/>
      <c r="Z23" s="160"/>
      <c r="AA23" s="580"/>
    </row>
    <row r="24" spans="1:28" ht="24" customHeight="1">
      <c r="A24" s="577"/>
      <c r="B24" s="578"/>
      <c r="C24" s="578"/>
      <c r="D24" s="578"/>
      <c r="E24" s="578"/>
      <c r="F24" s="578"/>
      <c r="G24" s="578"/>
      <c r="H24" s="578"/>
      <c r="I24" s="578"/>
      <c r="J24" s="578"/>
      <c r="K24" s="579"/>
      <c r="L24" s="414"/>
      <c r="M24" s="160"/>
      <c r="N24" s="160"/>
      <c r="O24" s="160"/>
      <c r="P24" s="414"/>
      <c r="Q24" s="160"/>
      <c r="R24" s="160"/>
      <c r="S24" s="160"/>
      <c r="T24" s="414"/>
      <c r="U24" s="160"/>
      <c r="V24" s="160"/>
      <c r="W24" s="160"/>
      <c r="X24" s="414"/>
      <c r="Y24" s="160"/>
      <c r="Z24" s="160"/>
      <c r="AA24" s="580"/>
    </row>
    <row r="25" spans="1:28" ht="24" customHeight="1">
      <c r="A25" s="577"/>
      <c r="B25" s="578"/>
      <c r="C25" s="578"/>
      <c r="D25" s="578"/>
      <c r="E25" s="578"/>
      <c r="F25" s="578"/>
      <c r="G25" s="578"/>
      <c r="H25" s="578"/>
      <c r="I25" s="578"/>
      <c r="J25" s="578"/>
      <c r="K25" s="579"/>
      <c r="L25" s="414"/>
      <c r="M25" s="160"/>
      <c r="N25" s="160"/>
      <c r="O25" s="160"/>
      <c r="P25" s="414"/>
      <c r="Q25" s="160"/>
      <c r="R25" s="160"/>
      <c r="S25" s="160"/>
      <c r="T25" s="414"/>
      <c r="U25" s="160"/>
      <c r="V25" s="160"/>
      <c r="W25" s="160"/>
      <c r="X25" s="414"/>
      <c r="Y25" s="160"/>
      <c r="Z25" s="160"/>
      <c r="AA25" s="580"/>
    </row>
    <row r="26" spans="1:28" ht="24" customHeight="1">
      <c r="A26" s="577"/>
      <c r="B26" s="578"/>
      <c r="C26" s="578"/>
      <c r="D26" s="578"/>
      <c r="E26" s="578"/>
      <c r="F26" s="578"/>
      <c r="G26" s="578"/>
      <c r="H26" s="578"/>
      <c r="I26" s="578"/>
      <c r="J26" s="578"/>
      <c r="K26" s="579"/>
      <c r="L26" s="414"/>
      <c r="M26" s="160"/>
      <c r="N26" s="160"/>
      <c r="O26" s="160"/>
      <c r="P26" s="414"/>
      <c r="Q26" s="160"/>
      <c r="R26" s="160"/>
      <c r="S26" s="160"/>
      <c r="T26" s="414"/>
      <c r="U26" s="160"/>
      <c r="V26" s="160"/>
      <c r="W26" s="160"/>
      <c r="X26" s="414"/>
      <c r="Y26" s="160"/>
      <c r="Z26" s="160"/>
      <c r="AA26" s="580"/>
    </row>
    <row r="27" spans="1:28" ht="24" customHeight="1">
      <c r="A27" s="577"/>
      <c r="B27" s="578"/>
      <c r="C27" s="578"/>
      <c r="D27" s="578"/>
      <c r="E27" s="578"/>
      <c r="F27" s="578"/>
      <c r="G27" s="578"/>
      <c r="H27" s="578"/>
      <c r="I27" s="578"/>
      <c r="J27" s="578"/>
      <c r="K27" s="579"/>
      <c r="L27" s="414"/>
      <c r="M27" s="160"/>
      <c r="N27" s="160"/>
      <c r="O27" s="160"/>
      <c r="P27" s="414"/>
      <c r="Q27" s="160"/>
      <c r="R27" s="160"/>
      <c r="S27" s="160"/>
      <c r="T27" s="414"/>
      <c r="U27" s="160"/>
      <c r="V27" s="160"/>
      <c r="W27" s="160"/>
      <c r="X27" s="414"/>
      <c r="Y27" s="160"/>
      <c r="Z27" s="160"/>
      <c r="AA27" s="580"/>
    </row>
    <row r="28" spans="1:28" ht="24" customHeight="1">
      <c r="A28" s="577"/>
      <c r="B28" s="578"/>
      <c r="C28" s="578"/>
      <c r="D28" s="578"/>
      <c r="E28" s="578"/>
      <c r="F28" s="578"/>
      <c r="G28" s="578"/>
      <c r="H28" s="578"/>
      <c r="I28" s="578"/>
      <c r="J28" s="578"/>
      <c r="K28" s="579"/>
      <c r="L28" s="414"/>
      <c r="M28" s="160"/>
      <c r="N28" s="160"/>
      <c r="O28" s="160"/>
      <c r="P28" s="414"/>
      <c r="Q28" s="160"/>
      <c r="R28" s="160"/>
      <c r="S28" s="160"/>
      <c r="T28" s="414"/>
      <c r="U28" s="160"/>
      <c r="V28" s="160"/>
      <c r="W28" s="160"/>
      <c r="X28" s="414"/>
      <c r="Y28" s="160"/>
      <c r="Z28" s="160"/>
      <c r="AA28" s="580"/>
    </row>
    <row r="29" spans="1:28" ht="24" customHeight="1">
      <c r="A29" s="577"/>
      <c r="B29" s="578"/>
      <c r="C29" s="578"/>
      <c r="D29" s="578"/>
      <c r="E29" s="578"/>
      <c r="F29" s="578"/>
      <c r="G29" s="578"/>
      <c r="H29" s="578"/>
      <c r="I29" s="578"/>
      <c r="J29" s="578"/>
      <c r="K29" s="579"/>
      <c r="L29" s="414"/>
      <c r="M29" s="160"/>
      <c r="N29" s="160"/>
      <c r="O29" s="160"/>
      <c r="P29" s="414"/>
      <c r="Q29" s="160"/>
      <c r="R29" s="160"/>
      <c r="S29" s="160"/>
      <c r="T29" s="414"/>
      <c r="U29" s="160"/>
      <c r="V29" s="160"/>
      <c r="W29" s="160"/>
      <c r="X29" s="414"/>
      <c r="Y29" s="160"/>
      <c r="Z29" s="160"/>
      <c r="AA29" s="580"/>
    </row>
    <row r="30" spans="1:28" ht="24" customHeight="1">
      <c r="A30" s="577"/>
      <c r="B30" s="578"/>
      <c r="C30" s="578"/>
      <c r="D30" s="578"/>
      <c r="E30" s="578"/>
      <c r="F30" s="578"/>
      <c r="G30" s="578"/>
      <c r="H30" s="578"/>
      <c r="I30" s="578"/>
      <c r="J30" s="578"/>
      <c r="K30" s="579"/>
      <c r="L30" s="414"/>
      <c r="M30" s="160"/>
      <c r="N30" s="160"/>
      <c r="O30" s="160"/>
      <c r="P30" s="414"/>
      <c r="Q30" s="160"/>
      <c r="R30" s="160"/>
      <c r="S30" s="160"/>
      <c r="T30" s="414"/>
      <c r="U30" s="160"/>
      <c r="V30" s="160"/>
      <c r="W30" s="160"/>
      <c r="X30" s="414"/>
      <c r="Y30" s="160"/>
      <c r="Z30" s="160"/>
      <c r="AA30" s="580"/>
    </row>
    <row r="31" spans="1:28" ht="24" customHeight="1">
      <c r="A31" s="577"/>
      <c r="B31" s="578"/>
      <c r="C31" s="578"/>
      <c r="D31" s="578"/>
      <c r="E31" s="578"/>
      <c r="F31" s="578"/>
      <c r="G31" s="578"/>
      <c r="H31" s="578"/>
      <c r="I31" s="578"/>
      <c r="J31" s="578"/>
      <c r="K31" s="579"/>
      <c r="L31" s="414"/>
      <c r="M31" s="160"/>
      <c r="N31" s="160"/>
      <c r="O31" s="160"/>
      <c r="P31" s="414"/>
      <c r="Q31" s="160"/>
      <c r="R31" s="160"/>
      <c r="S31" s="160"/>
      <c r="T31" s="414"/>
      <c r="U31" s="160"/>
      <c r="V31" s="160"/>
      <c r="W31" s="160"/>
      <c r="X31" s="414"/>
      <c r="Y31" s="160"/>
      <c r="Z31" s="160"/>
      <c r="AA31" s="580"/>
    </row>
    <row r="32" spans="1:28" ht="24" customHeight="1">
      <c r="A32" s="577"/>
      <c r="B32" s="578"/>
      <c r="C32" s="578"/>
      <c r="D32" s="578"/>
      <c r="E32" s="578"/>
      <c r="F32" s="578"/>
      <c r="G32" s="578"/>
      <c r="H32" s="578"/>
      <c r="I32" s="578"/>
      <c r="J32" s="578"/>
      <c r="K32" s="579"/>
      <c r="L32" s="414"/>
      <c r="M32" s="160"/>
      <c r="N32" s="160"/>
      <c r="O32" s="160"/>
      <c r="P32" s="414"/>
      <c r="Q32" s="160"/>
      <c r="R32" s="160"/>
      <c r="S32" s="160"/>
      <c r="T32" s="414"/>
      <c r="U32" s="160"/>
      <c r="V32" s="160"/>
      <c r="W32" s="160"/>
      <c r="X32" s="414"/>
      <c r="Y32" s="160"/>
      <c r="Z32" s="160"/>
      <c r="AA32" s="580"/>
    </row>
    <row r="33" spans="1:27" ht="24" customHeight="1">
      <c r="A33" s="577"/>
      <c r="B33" s="578"/>
      <c r="C33" s="578"/>
      <c r="D33" s="578"/>
      <c r="E33" s="578"/>
      <c r="F33" s="578"/>
      <c r="G33" s="578"/>
      <c r="H33" s="578"/>
      <c r="I33" s="578"/>
      <c r="J33" s="578"/>
      <c r="K33" s="579"/>
      <c r="L33" s="414"/>
      <c r="M33" s="160"/>
      <c r="N33" s="160"/>
      <c r="O33" s="160"/>
      <c r="P33" s="414"/>
      <c r="Q33" s="160"/>
      <c r="R33" s="160"/>
      <c r="S33" s="160"/>
      <c r="T33" s="414"/>
      <c r="U33" s="160"/>
      <c r="V33" s="160"/>
      <c r="W33" s="160"/>
      <c r="X33" s="414"/>
      <c r="Y33" s="160"/>
      <c r="Z33" s="160"/>
      <c r="AA33" s="580"/>
    </row>
    <row r="34" spans="1:27" ht="24" customHeight="1">
      <c r="A34" s="577"/>
      <c r="B34" s="578"/>
      <c r="C34" s="578"/>
      <c r="D34" s="578"/>
      <c r="E34" s="578"/>
      <c r="F34" s="578"/>
      <c r="G34" s="578"/>
      <c r="H34" s="578"/>
      <c r="I34" s="578"/>
      <c r="J34" s="578"/>
      <c r="K34" s="579"/>
      <c r="L34" s="414"/>
      <c r="M34" s="160"/>
      <c r="N34" s="160"/>
      <c r="O34" s="160"/>
      <c r="P34" s="414"/>
      <c r="Q34" s="160"/>
      <c r="R34" s="160"/>
      <c r="S34" s="160"/>
      <c r="T34" s="414"/>
      <c r="U34" s="160"/>
      <c r="V34" s="160"/>
      <c r="W34" s="160"/>
      <c r="X34" s="414"/>
      <c r="Y34" s="160"/>
      <c r="Z34" s="160"/>
      <c r="AA34" s="580"/>
    </row>
    <row r="35" spans="1:27" ht="24" customHeight="1">
      <c r="A35" s="577"/>
      <c r="B35" s="578"/>
      <c r="C35" s="578"/>
      <c r="D35" s="578"/>
      <c r="E35" s="578"/>
      <c r="F35" s="578"/>
      <c r="G35" s="578"/>
      <c r="H35" s="578"/>
      <c r="I35" s="578"/>
      <c r="J35" s="578"/>
      <c r="K35" s="579"/>
      <c r="L35" s="414"/>
      <c r="M35" s="160"/>
      <c r="N35" s="160"/>
      <c r="O35" s="160"/>
      <c r="P35" s="414"/>
      <c r="Q35" s="160"/>
      <c r="R35" s="160"/>
      <c r="S35" s="160"/>
      <c r="T35" s="414"/>
      <c r="U35" s="160"/>
      <c r="V35" s="160"/>
      <c r="W35" s="160"/>
      <c r="X35" s="414"/>
      <c r="Y35" s="160"/>
      <c r="Z35" s="160"/>
      <c r="AA35" s="580"/>
    </row>
    <row r="36" spans="1:27" ht="24" customHeight="1">
      <c r="A36" s="577"/>
      <c r="B36" s="578"/>
      <c r="C36" s="578"/>
      <c r="D36" s="578"/>
      <c r="E36" s="578"/>
      <c r="F36" s="578"/>
      <c r="G36" s="578"/>
      <c r="H36" s="578"/>
      <c r="I36" s="578"/>
      <c r="J36" s="578"/>
      <c r="K36" s="579"/>
      <c r="L36" s="414"/>
      <c r="M36" s="160"/>
      <c r="N36" s="160"/>
      <c r="O36" s="160"/>
      <c r="P36" s="414"/>
      <c r="Q36" s="160"/>
      <c r="R36" s="160"/>
      <c r="S36" s="160"/>
      <c r="T36" s="414"/>
      <c r="U36" s="160"/>
      <c r="V36" s="160"/>
      <c r="W36" s="160"/>
      <c r="X36" s="414"/>
      <c r="Y36" s="160"/>
      <c r="Z36" s="160"/>
      <c r="AA36" s="580"/>
    </row>
    <row r="37" spans="1:27" ht="24" customHeight="1">
      <c r="A37" s="577"/>
      <c r="B37" s="578"/>
      <c r="C37" s="578"/>
      <c r="D37" s="578"/>
      <c r="E37" s="578"/>
      <c r="F37" s="578"/>
      <c r="G37" s="578"/>
      <c r="H37" s="578"/>
      <c r="I37" s="578"/>
      <c r="J37" s="578"/>
      <c r="K37" s="579"/>
      <c r="L37" s="414"/>
      <c r="M37" s="160"/>
      <c r="N37" s="160"/>
      <c r="O37" s="160"/>
      <c r="P37" s="414"/>
      <c r="Q37" s="160"/>
      <c r="R37" s="160"/>
      <c r="S37" s="160"/>
      <c r="T37" s="414"/>
      <c r="U37" s="160"/>
      <c r="V37" s="160"/>
      <c r="W37" s="160"/>
      <c r="X37" s="414"/>
      <c r="Y37" s="160"/>
      <c r="Z37" s="160"/>
      <c r="AA37" s="580"/>
    </row>
    <row r="38" spans="1:27" ht="24" customHeight="1">
      <c r="A38" s="577"/>
      <c r="B38" s="578"/>
      <c r="C38" s="578"/>
      <c r="D38" s="578"/>
      <c r="E38" s="578"/>
      <c r="F38" s="578"/>
      <c r="G38" s="578"/>
      <c r="H38" s="578"/>
      <c r="I38" s="578"/>
      <c r="J38" s="578"/>
      <c r="K38" s="579"/>
      <c r="L38" s="414"/>
      <c r="M38" s="160"/>
      <c r="N38" s="160"/>
      <c r="O38" s="160"/>
      <c r="P38" s="414"/>
      <c r="Q38" s="160"/>
      <c r="R38" s="160"/>
      <c r="S38" s="160"/>
      <c r="T38" s="414"/>
      <c r="U38" s="160"/>
      <c r="V38" s="160"/>
      <c r="W38" s="160"/>
      <c r="X38" s="414"/>
      <c r="Y38" s="160"/>
      <c r="Z38" s="160"/>
      <c r="AA38" s="580"/>
    </row>
    <row r="39" spans="1:27" ht="24" customHeight="1">
      <c r="A39" s="577"/>
      <c r="B39" s="578"/>
      <c r="C39" s="578"/>
      <c r="D39" s="578"/>
      <c r="E39" s="578"/>
      <c r="F39" s="578"/>
      <c r="G39" s="578"/>
      <c r="H39" s="578"/>
      <c r="I39" s="578"/>
      <c r="J39" s="578"/>
      <c r="K39" s="579"/>
      <c r="L39" s="414"/>
      <c r="M39" s="160"/>
      <c r="N39" s="160"/>
      <c r="O39" s="160"/>
      <c r="P39" s="414"/>
      <c r="Q39" s="160"/>
      <c r="R39" s="160"/>
      <c r="S39" s="160"/>
      <c r="T39" s="414"/>
      <c r="U39" s="160"/>
      <c r="V39" s="160"/>
      <c r="W39" s="160"/>
      <c r="X39" s="414"/>
      <c r="Y39" s="160"/>
      <c r="Z39" s="160"/>
      <c r="AA39" s="580"/>
    </row>
    <row r="40" spans="1:27" ht="24" customHeight="1">
      <c r="A40" s="577"/>
      <c r="B40" s="578"/>
      <c r="C40" s="578"/>
      <c r="D40" s="578"/>
      <c r="E40" s="578"/>
      <c r="F40" s="578"/>
      <c r="G40" s="578"/>
      <c r="H40" s="578"/>
      <c r="I40" s="578"/>
      <c r="J40" s="578"/>
      <c r="K40" s="579"/>
      <c r="L40" s="414"/>
      <c r="M40" s="160"/>
      <c r="N40" s="160"/>
      <c r="O40" s="160"/>
      <c r="P40" s="414"/>
      <c r="Q40" s="160"/>
      <c r="R40" s="160"/>
      <c r="S40" s="160"/>
      <c r="T40" s="414"/>
      <c r="U40" s="160"/>
      <c r="V40" s="160"/>
      <c r="W40" s="160"/>
      <c r="X40" s="414"/>
      <c r="Y40" s="160"/>
      <c r="Z40" s="160"/>
      <c r="AA40" s="580"/>
    </row>
    <row r="41" spans="1:27" ht="24" customHeight="1">
      <c r="A41" s="577"/>
      <c r="B41" s="578"/>
      <c r="C41" s="578"/>
      <c r="D41" s="578"/>
      <c r="E41" s="578"/>
      <c r="F41" s="578"/>
      <c r="G41" s="578"/>
      <c r="H41" s="578"/>
      <c r="I41" s="578"/>
      <c r="J41" s="578"/>
      <c r="K41" s="579"/>
      <c r="L41" s="414"/>
      <c r="M41" s="160"/>
      <c r="N41" s="160"/>
      <c r="O41" s="160"/>
      <c r="P41" s="414"/>
      <c r="Q41" s="160"/>
      <c r="R41" s="160"/>
      <c r="S41" s="160"/>
      <c r="T41" s="414"/>
      <c r="U41" s="160"/>
      <c r="V41" s="160"/>
      <c r="W41" s="160"/>
      <c r="X41" s="414"/>
      <c r="Y41" s="160"/>
      <c r="Z41" s="160"/>
      <c r="AA41" s="580"/>
    </row>
    <row r="42" spans="1:27" ht="24" customHeight="1">
      <c r="A42" s="577"/>
      <c r="B42" s="578"/>
      <c r="C42" s="578"/>
      <c r="D42" s="578"/>
      <c r="E42" s="578"/>
      <c r="F42" s="578"/>
      <c r="G42" s="578"/>
      <c r="H42" s="578"/>
      <c r="I42" s="578"/>
      <c r="J42" s="578"/>
      <c r="K42" s="579"/>
      <c r="L42" s="414"/>
      <c r="M42" s="160"/>
      <c r="N42" s="160"/>
      <c r="O42" s="160"/>
      <c r="P42" s="414"/>
      <c r="Q42" s="160"/>
      <c r="R42" s="160"/>
      <c r="S42" s="160"/>
      <c r="T42" s="414"/>
      <c r="U42" s="160"/>
      <c r="V42" s="160"/>
      <c r="W42" s="160"/>
      <c r="X42" s="414"/>
      <c r="Y42" s="160"/>
      <c r="Z42" s="160"/>
      <c r="AA42" s="580"/>
    </row>
    <row r="43" spans="1:27" ht="24" customHeight="1">
      <c r="A43" s="577"/>
      <c r="B43" s="578"/>
      <c r="C43" s="578"/>
      <c r="D43" s="578"/>
      <c r="E43" s="578"/>
      <c r="F43" s="578"/>
      <c r="G43" s="578"/>
      <c r="H43" s="578"/>
      <c r="I43" s="578"/>
      <c r="J43" s="578"/>
      <c r="K43" s="579"/>
      <c r="L43" s="414"/>
      <c r="M43" s="160"/>
      <c r="N43" s="160"/>
      <c r="O43" s="160"/>
      <c r="P43" s="414"/>
      <c r="Q43" s="160"/>
      <c r="R43" s="160"/>
      <c r="S43" s="160"/>
      <c r="T43" s="414"/>
      <c r="U43" s="160"/>
      <c r="V43" s="160"/>
      <c r="W43" s="160"/>
      <c r="X43" s="414"/>
      <c r="Y43" s="160"/>
      <c r="Z43" s="160"/>
      <c r="AA43" s="580"/>
    </row>
    <row r="44" spans="1:27" ht="24" customHeight="1">
      <c r="A44" s="577"/>
      <c r="B44" s="578"/>
      <c r="C44" s="578"/>
      <c r="D44" s="578"/>
      <c r="E44" s="578"/>
      <c r="F44" s="578"/>
      <c r="G44" s="578"/>
      <c r="H44" s="578"/>
      <c r="I44" s="578"/>
      <c r="J44" s="578"/>
      <c r="K44" s="579"/>
      <c r="L44" s="414"/>
      <c r="M44" s="160"/>
      <c r="N44" s="160"/>
      <c r="O44" s="160"/>
      <c r="P44" s="414"/>
      <c r="Q44" s="160"/>
      <c r="R44" s="160"/>
      <c r="S44" s="160"/>
      <c r="T44" s="414"/>
      <c r="U44" s="160"/>
      <c r="V44" s="160"/>
      <c r="W44" s="160"/>
      <c r="X44" s="414"/>
      <c r="Y44" s="160"/>
      <c r="Z44" s="160"/>
      <c r="AA44" s="580"/>
    </row>
    <row r="45" spans="1:27" ht="24" customHeight="1">
      <c r="A45" s="577"/>
      <c r="B45" s="578"/>
      <c r="C45" s="578"/>
      <c r="D45" s="578"/>
      <c r="E45" s="578"/>
      <c r="F45" s="578"/>
      <c r="G45" s="578"/>
      <c r="H45" s="578"/>
      <c r="I45" s="578"/>
      <c r="J45" s="578"/>
      <c r="K45" s="579"/>
      <c r="L45" s="414"/>
      <c r="M45" s="160"/>
      <c r="N45" s="160"/>
      <c r="O45" s="160"/>
      <c r="P45" s="414"/>
      <c r="Q45" s="160"/>
      <c r="R45" s="160"/>
      <c r="S45" s="160"/>
      <c r="T45" s="414"/>
      <c r="U45" s="160"/>
      <c r="V45" s="160"/>
      <c r="W45" s="160"/>
      <c r="X45" s="414"/>
      <c r="Y45" s="160"/>
      <c r="Z45" s="160"/>
      <c r="AA45" s="580"/>
    </row>
    <row r="46" spans="1:27" ht="24" customHeight="1">
      <c r="A46" s="577"/>
      <c r="B46" s="578"/>
      <c r="C46" s="578"/>
      <c r="D46" s="578"/>
      <c r="E46" s="578"/>
      <c r="F46" s="578"/>
      <c r="G46" s="578"/>
      <c r="H46" s="578"/>
      <c r="I46" s="578"/>
      <c r="J46" s="578"/>
      <c r="K46" s="579"/>
      <c r="L46" s="414"/>
      <c r="M46" s="160"/>
      <c r="N46" s="160"/>
      <c r="O46" s="160"/>
      <c r="P46" s="414"/>
      <c r="Q46" s="160"/>
      <c r="R46" s="160"/>
      <c r="S46" s="160"/>
      <c r="T46" s="414"/>
      <c r="U46" s="160"/>
      <c r="V46" s="160"/>
      <c r="W46" s="160"/>
      <c r="X46" s="414"/>
      <c r="Y46" s="160"/>
      <c r="Z46" s="160"/>
      <c r="AA46" s="580"/>
    </row>
    <row r="47" spans="1:27" ht="24" customHeight="1">
      <c r="A47" s="577"/>
      <c r="B47" s="578"/>
      <c r="C47" s="578"/>
      <c r="D47" s="578"/>
      <c r="E47" s="578"/>
      <c r="F47" s="578"/>
      <c r="G47" s="578"/>
      <c r="H47" s="578"/>
      <c r="I47" s="578"/>
      <c r="J47" s="578"/>
      <c r="K47" s="579"/>
      <c r="L47" s="414"/>
      <c r="M47" s="160"/>
      <c r="N47" s="160"/>
      <c r="O47" s="160"/>
      <c r="P47" s="414"/>
      <c r="Q47" s="160"/>
      <c r="R47" s="160"/>
      <c r="S47" s="160"/>
      <c r="T47" s="414"/>
      <c r="U47" s="160"/>
      <c r="V47" s="160"/>
      <c r="W47" s="160"/>
      <c r="X47" s="414"/>
      <c r="Y47" s="160"/>
      <c r="Z47" s="160"/>
      <c r="AA47" s="580"/>
    </row>
    <row r="48" spans="1:27" ht="24" customHeight="1">
      <c r="A48" s="577"/>
      <c r="B48" s="578"/>
      <c r="C48" s="578"/>
      <c r="D48" s="578"/>
      <c r="E48" s="578"/>
      <c r="F48" s="578"/>
      <c r="G48" s="578"/>
      <c r="H48" s="578"/>
      <c r="I48" s="578"/>
      <c r="J48" s="578"/>
      <c r="K48" s="579"/>
      <c r="L48" s="414"/>
      <c r="M48" s="160"/>
      <c r="N48" s="160"/>
      <c r="O48" s="160"/>
      <c r="P48" s="414"/>
      <c r="Q48" s="160"/>
      <c r="R48" s="160"/>
      <c r="S48" s="160"/>
      <c r="T48" s="414"/>
      <c r="U48" s="160"/>
      <c r="V48" s="160"/>
      <c r="W48" s="160"/>
      <c r="X48" s="414"/>
      <c r="Y48" s="160"/>
      <c r="Z48" s="160"/>
      <c r="AA48" s="580"/>
    </row>
    <row r="49" spans="1:27" ht="24" customHeight="1">
      <c r="A49" s="577"/>
      <c r="B49" s="578"/>
      <c r="C49" s="578"/>
      <c r="D49" s="578"/>
      <c r="E49" s="578"/>
      <c r="F49" s="578"/>
      <c r="G49" s="578"/>
      <c r="H49" s="578"/>
      <c r="I49" s="578"/>
      <c r="J49" s="578"/>
      <c r="K49" s="579"/>
      <c r="L49" s="414"/>
      <c r="M49" s="160"/>
      <c r="N49" s="160"/>
      <c r="O49" s="160"/>
      <c r="P49" s="414"/>
      <c r="Q49" s="160"/>
      <c r="R49" s="160"/>
      <c r="S49" s="160"/>
      <c r="T49" s="414"/>
      <c r="U49" s="160"/>
      <c r="V49" s="160"/>
      <c r="W49" s="160"/>
      <c r="X49" s="414"/>
      <c r="Y49" s="160"/>
      <c r="Z49" s="160"/>
      <c r="AA49" s="580"/>
    </row>
    <row r="50" spans="1:27" ht="24" customHeight="1">
      <c r="A50" s="577"/>
      <c r="B50" s="578"/>
      <c r="C50" s="578"/>
      <c r="D50" s="578"/>
      <c r="E50" s="578"/>
      <c r="F50" s="578"/>
      <c r="G50" s="578"/>
      <c r="H50" s="578"/>
      <c r="I50" s="578"/>
      <c r="J50" s="578"/>
      <c r="K50" s="579"/>
      <c r="L50" s="414"/>
      <c r="M50" s="160"/>
      <c r="N50" s="160"/>
      <c r="O50" s="160"/>
      <c r="P50" s="414"/>
      <c r="Q50" s="160"/>
      <c r="R50" s="160"/>
      <c r="S50" s="160"/>
      <c r="T50" s="414"/>
      <c r="U50" s="160"/>
      <c r="V50" s="160"/>
      <c r="W50" s="160"/>
      <c r="X50" s="414"/>
      <c r="Y50" s="160"/>
      <c r="Z50" s="160"/>
      <c r="AA50" s="580"/>
    </row>
    <row r="51" spans="1:27" ht="24" customHeight="1">
      <c r="A51" s="577"/>
      <c r="B51" s="578"/>
      <c r="C51" s="578"/>
      <c r="D51" s="578"/>
      <c r="E51" s="578"/>
      <c r="F51" s="578"/>
      <c r="G51" s="578"/>
      <c r="H51" s="578"/>
      <c r="I51" s="578"/>
      <c r="J51" s="578"/>
      <c r="K51" s="579"/>
      <c r="L51" s="414"/>
      <c r="M51" s="160"/>
      <c r="N51" s="160"/>
      <c r="O51" s="160"/>
      <c r="P51" s="414"/>
      <c r="Q51" s="160"/>
      <c r="R51" s="160"/>
      <c r="S51" s="160"/>
      <c r="T51" s="414"/>
      <c r="U51" s="160"/>
      <c r="V51" s="160"/>
      <c r="W51" s="160"/>
      <c r="X51" s="414"/>
      <c r="Y51" s="160"/>
      <c r="Z51" s="160"/>
      <c r="AA51" s="580"/>
    </row>
    <row r="52" spans="1:27" ht="24" customHeight="1">
      <c r="A52" s="577"/>
      <c r="B52" s="578"/>
      <c r="C52" s="578"/>
      <c r="D52" s="578"/>
      <c r="E52" s="578"/>
      <c r="F52" s="578"/>
      <c r="G52" s="578"/>
      <c r="H52" s="578"/>
      <c r="I52" s="578"/>
      <c r="J52" s="578"/>
      <c r="K52" s="579"/>
      <c r="L52" s="414"/>
      <c r="M52" s="160"/>
      <c r="N52" s="160"/>
      <c r="O52" s="160"/>
      <c r="P52" s="414"/>
      <c r="Q52" s="160"/>
      <c r="R52" s="160"/>
      <c r="S52" s="160"/>
      <c r="T52" s="414"/>
      <c r="U52" s="160"/>
      <c r="V52" s="160"/>
      <c r="W52" s="160"/>
      <c r="X52" s="414"/>
      <c r="Y52" s="160"/>
      <c r="Z52" s="160"/>
      <c r="AA52" s="580"/>
    </row>
    <row r="53" spans="1:27" ht="24" customHeight="1">
      <c r="A53" s="577"/>
      <c r="B53" s="578"/>
      <c r="C53" s="578"/>
      <c r="D53" s="578"/>
      <c r="E53" s="578"/>
      <c r="F53" s="578"/>
      <c r="G53" s="578"/>
      <c r="H53" s="578"/>
      <c r="I53" s="578"/>
      <c r="J53" s="578"/>
      <c r="K53" s="579"/>
      <c r="L53" s="414"/>
      <c r="M53" s="160"/>
      <c r="N53" s="160"/>
      <c r="O53" s="160"/>
      <c r="P53" s="414"/>
      <c r="Q53" s="160"/>
      <c r="R53" s="160"/>
      <c r="S53" s="160"/>
      <c r="T53" s="414"/>
      <c r="U53" s="160"/>
      <c r="V53" s="160"/>
      <c r="W53" s="160"/>
      <c r="X53" s="414"/>
      <c r="Y53" s="160"/>
      <c r="Z53" s="160"/>
      <c r="AA53" s="580"/>
    </row>
    <row r="54" spans="1:27" ht="24" customHeight="1">
      <c r="A54" s="577"/>
      <c r="B54" s="578"/>
      <c r="C54" s="578"/>
      <c r="D54" s="578"/>
      <c r="E54" s="578"/>
      <c r="F54" s="578"/>
      <c r="G54" s="578"/>
      <c r="H54" s="578"/>
      <c r="I54" s="578"/>
      <c r="J54" s="578"/>
      <c r="K54" s="579"/>
      <c r="L54" s="414"/>
      <c r="M54" s="160"/>
      <c r="N54" s="160"/>
      <c r="O54" s="160"/>
      <c r="P54" s="414"/>
      <c r="Q54" s="160"/>
      <c r="R54" s="160"/>
      <c r="S54" s="160"/>
      <c r="T54" s="414"/>
      <c r="U54" s="160"/>
      <c r="V54" s="160"/>
      <c r="W54" s="160"/>
      <c r="X54" s="414"/>
      <c r="Y54" s="160"/>
      <c r="Z54" s="160"/>
      <c r="AA54" s="580"/>
    </row>
    <row r="55" spans="1:27" ht="24" customHeight="1">
      <c r="A55" s="577"/>
      <c r="B55" s="578"/>
      <c r="C55" s="578"/>
      <c r="D55" s="578"/>
      <c r="E55" s="578"/>
      <c r="F55" s="578"/>
      <c r="G55" s="578"/>
      <c r="H55" s="578"/>
      <c r="I55" s="578"/>
      <c r="J55" s="578"/>
      <c r="K55" s="579"/>
      <c r="L55" s="414"/>
      <c r="M55" s="160"/>
      <c r="N55" s="160"/>
      <c r="O55" s="160"/>
      <c r="P55" s="414"/>
      <c r="Q55" s="160"/>
      <c r="R55" s="160"/>
      <c r="S55" s="160"/>
      <c r="T55" s="414"/>
      <c r="U55" s="160"/>
      <c r="V55" s="160"/>
      <c r="W55" s="160"/>
      <c r="X55" s="414"/>
      <c r="Y55" s="160"/>
      <c r="Z55" s="160"/>
      <c r="AA55" s="580"/>
    </row>
    <row r="56" spans="1:27" ht="24" customHeight="1">
      <c r="A56" s="577"/>
      <c r="B56" s="578"/>
      <c r="C56" s="578"/>
      <c r="D56" s="578"/>
      <c r="E56" s="578"/>
      <c r="F56" s="578"/>
      <c r="G56" s="578"/>
      <c r="H56" s="578"/>
      <c r="I56" s="578"/>
      <c r="J56" s="578"/>
      <c r="K56" s="579"/>
      <c r="L56" s="414"/>
      <c r="M56" s="160"/>
      <c r="N56" s="160"/>
      <c r="O56" s="160"/>
      <c r="P56" s="414"/>
      <c r="Q56" s="160"/>
      <c r="R56" s="160"/>
      <c r="S56" s="160"/>
      <c r="T56" s="414"/>
      <c r="U56" s="160"/>
      <c r="V56" s="160"/>
      <c r="W56" s="160"/>
      <c r="X56" s="414"/>
      <c r="Y56" s="160"/>
      <c r="Z56" s="160"/>
      <c r="AA56" s="580"/>
    </row>
    <row r="57" spans="1:27" ht="24" customHeight="1">
      <c r="A57" s="577"/>
      <c r="B57" s="578"/>
      <c r="C57" s="578"/>
      <c r="D57" s="578"/>
      <c r="E57" s="578"/>
      <c r="F57" s="578"/>
      <c r="G57" s="578"/>
      <c r="H57" s="578"/>
      <c r="I57" s="578"/>
      <c r="J57" s="578"/>
      <c r="K57" s="579"/>
      <c r="L57" s="414"/>
      <c r="M57" s="160"/>
      <c r="N57" s="160"/>
      <c r="O57" s="160"/>
      <c r="P57" s="414"/>
      <c r="Q57" s="160"/>
      <c r="R57" s="160"/>
      <c r="S57" s="160"/>
      <c r="T57" s="414"/>
      <c r="U57" s="160"/>
      <c r="V57" s="160"/>
      <c r="W57" s="160"/>
      <c r="X57" s="414"/>
      <c r="Y57" s="160"/>
      <c r="Z57" s="160"/>
      <c r="AA57" s="580"/>
    </row>
    <row r="58" spans="1:27" ht="24" customHeight="1">
      <c r="A58" s="577"/>
      <c r="B58" s="578"/>
      <c r="C58" s="578"/>
      <c r="D58" s="578"/>
      <c r="E58" s="578"/>
      <c r="F58" s="578"/>
      <c r="G58" s="578"/>
      <c r="H58" s="578"/>
      <c r="I58" s="578"/>
      <c r="J58" s="578"/>
      <c r="K58" s="579"/>
      <c r="L58" s="414"/>
      <c r="M58" s="160"/>
      <c r="N58" s="160"/>
      <c r="O58" s="160"/>
      <c r="P58" s="414"/>
      <c r="Q58" s="160"/>
      <c r="R58" s="160"/>
      <c r="S58" s="160"/>
      <c r="T58" s="414"/>
      <c r="U58" s="160"/>
      <c r="V58" s="160"/>
      <c r="W58" s="160"/>
      <c r="X58" s="414"/>
      <c r="Y58" s="160"/>
      <c r="Z58" s="160"/>
      <c r="AA58" s="580"/>
    </row>
    <row r="59" spans="1:27" ht="24" customHeight="1">
      <c r="A59" s="577"/>
      <c r="B59" s="578"/>
      <c r="C59" s="578"/>
      <c r="D59" s="578"/>
      <c r="E59" s="578"/>
      <c r="F59" s="578"/>
      <c r="G59" s="578"/>
      <c r="H59" s="578"/>
      <c r="I59" s="578"/>
      <c r="J59" s="578"/>
      <c r="K59" s="579"/>
      <c r="L59" s="414"/>
      <c r="M59" s="160"/>
      <c r="N59" s="160"/>
      <c r="O59" s="160"/>
      <c r="P59" s="414"/>
      <c r="Q59" s="160"/>
      <c r="R59" s="160"/>
      <c r="S59" s="160"/>
      <c r="T59" s="414"/>
      <c r="U59" s="160"/>
      <c r="V59" s="160"/>
      <c r="W59" s="160"/>
      <c r="X59" s="414"/>
      <c r="Y59" s="160"/>
      <c r="Z59" s="160"/>
      <c r="AA59" s="580"/>
    </row>
    <row r="60" spans="1:27" ht="24" customHeight="1">
      <c r="A60" s="577"/>
      <c r="B60" s="578"/>
      <c r="C60" s="578"/>
      <c r="D60" s="578"/>
      <c r="E60" s="578"/>
      <c r="F60" s="578"/>
      <c r="G60" s="578"/>
      <c r="H60" s="578"/>
      <c r="I60" s="578"/>
      <c r="J60" s="578"/>
      <c r="K60" s="579"/>
      <c r="L60" s="414"/>
      <c r="M60" s="160"/>
      <c r="N60" s="160"/>
      <c r="O60" s="160"/>
      <c r="P60" s="414"/>
      <c r="Q60" s="160"/>
      <c r="R60" s="160"/>
      <c r="S60" s="160"/>
      <c r="T60" s="414"/>
      <c r="U60" s="160"/>
      <c r="V60" s="160"/>
      <c r="W60" s="160"/>
      <c r="X60" s="414"/>
      <c r="Y60" s="160"/>
      <c r="Z60" s="160"/>
      <c r="AA60" s="580"/>
    </row>
    <row r="61" spans="1:27" ht="24" customHeight="1">
      <c r="A61" s="577"/>
      <c r="B61" s="578"/>
      <c r="C61" s="578"/>
      <c r="D61" s="578"/>
      <c r="E61" s="578"/>
      <c r="F61" s="578"/>
      <c r="G61" s="578"/>
      <c r="H61" s="578"/>
      <c r="I61" s="578"/>
      <c r="J61" s="578"/>
      <c r="K61" s="579"/>
      <c r="L61" s="414"/>
      <c r="M61" s="160"/>
      <c r="N61" s="160"/>
      <c r="O61" s="160"/>
      <c r="P61" s="414"/>
      <c r="Q61" s="160"/>
      <c r="R61" s="160"/>
      <c r="S61" s="160"/>
      <c r="T61" s="414"/>
      <c r="U61" s="160"/>
      <c r="V61" s="160"/>
      <c r="W61" s="160"/>
      <c r="X61" s="414"/>
      <c r="Y61" s="160"/>
      <c r="Z61" s="160"/>
      <c r="AA61" s="580"/>
    </row>
    <row r="62" spans="1:27" ht="24" customHeight="1">
      <c r="A62" s="577"/>
      <c r="B62" s="578"/>
      <c r="C62" s="578"/>
      <c r="D62" s="578"/>
      <c r="E62" s="578"/>
      <c r="F62" s="578"/>
      <c r="G62" s="578"/>
      <c r="H62" s="578"/>
      <c r="I62" s="578"/>
      <c r="J62" s="578"/>
      <c r="K62" s="579"/>
      <c r="L62" s="414"/>
      <c r="M62" s="160"/>
      <c r="N62" s="160"/>
      <c r="O62" s="160"/>
      <c r="P62" s="414"/>
      <c r="Q62" s="160"/>
      <c r="R62" s="160"/>
      <c r="S62" s="160"/>
      <c r="T62" s="414"/>
      <c r="U62" s="160"/>
      <c r="V62" s="160"/>
      <c r="W62" s="160"/>
      <c r="X62" s="414"/>
      <c r="Y62" s="160"/>
      <c r="Z62" s="160"/>
      <c r="AA62" s="580"/>
    </row>
    <row r="63" spans="1:27" ht="24" customHeight="1">
      <c r="A63" s="577"/>
      <c r="B63" s="578"/>
      <c r="C63" s="578"/>
      <c r="D63" s="578"/>
      <c r="E63" s="578"/>
      <c r="F63" s="578"/>
      <c r="G63" s="578"/>
      <c r="H63" s="578"/>
      <c r="I63" s="578"/>
      <c r="J63" s="578"/>
      <c r="K63" s="579"/>
      <c r="L63" s="414"/>
      <c r="M63" s="160"/>
      <c r="N63" s="160"/>
      <c r="O63" s="160"/>
      <c r="P63" s="414"/>
      <c r="Q63" s="160"/>
      <c r="R63" s="160"/>
      <c r="S63" s="160"/>
      <c r="T63" s="414"/>
      <c r="U63" s="160"/>
      <c r="V63" s="160"/>
      <c r="W63" s="160"/>
      <c r="X63" s="414"/>
      <c r="Y63" s="160"/>
      <c r="Z63" s="160"/>
      <c r="AA63" s="580"/>
    </row>
    <row r="64" spans="1:27" ht="24" customHeight="1">
      <c r="A64" s="577"/>
      <c r="B64" s="578"/>
      <c r="C64" s="578"/>
      <c r="D64" s="578"/>
      <c r="E64" s="578"/>
      <c r="F64" s="578"/>
      <c r="G64" s="578"/>
      <c r="H64" s="578"/>
      <c r="I64" s="578"/>
      <c r="J64" s="578"/>
      <c r="K64" s="579"/>
      <c r="L64" s="414"/>
      <c r="M64" s="160"/>
      <c r="N64" s="160"/>
      <c r="O64" s="160"/>
      <c r="P64" s="414"/>
      <c r="Q64" s="160"/>
      <c r="R64" s="160"/>
      <c r="S64" s="160"/>
      <c r="T64" s="414"/>
      <c r="U64" s="160"/>
      <c r="V64" s="160"/>
      <c r="W64" s="160"/>
      <c r="X64" s="414"/>
      <c r="Y64" s="160"/>
      <c r="Z64" s="160"/>
      <c r="AA64" s="580"/>
    </row>
    <row r="65" spans="1:27" ht="24" customHeight="1">
      <c r="A65" s="577"/>
      <c r="B65" s="578"/>
      <c r="C65" s="578"/>
      <c r="D65" s="578"/>
      <c r="E65" s="578"/>
      <c r="F65" s="578"/>
      <c r="G65" s="578"/>
      <c r="H65" s="578"/>
      <c r="I65" s="578"/>
      <c r="J65" s="578"/>
      <c r="K65" s="579"/>
      <c r="L65" s="414"/>
      <c r="M65" s="160"/>
      <c r="N65" s="160"/>
      <c r="O65" s="160"/>
      <c r="P65" s="414"/>
      <c r="Q65" s="160"/>
      <c r="R65" s="160"/>
      <c r="S65" s="160"/>
      <c r="T65" s="414"/>
      <c r="U65" s="160"/>
      <c r="V65" s="160"/>
      <c r="W65" s="160"/>
      <c r="X65" s="414"/>
      <c r="Y65" s="160"/>
      <c r="Z65" s="160"/>
      <c r="AA65" s="580"/>
    </row>
    <row r="66" spans="1:27" ht="24" customHeight="1">
      <c r="A66" s="577"/>
      <c r="B66" s="578"/>
      <c r="C66" s="578"/>
      <c r="D66" s="578"/>
      <c r="E66" s="578"/>
      <c r="F66" s="578"/>
      <c r="G66" s="578"/>
      <c r="H66" s="578"/>
      <c r="I66" s="578"/>
      <c r="J66" s="578"/>
      <c r="K66" s="579"/>
      <c r="L66" s="414"/>
      <c r="M66" s="160"/>
      <c r="N66" s="160"/>
      <c r="O66" s="160"/>
      <c r="P66" s="414"/>
      <c r="Q66" s="160"/>
      <c r="R66" s="160"/>
      <c r="S66" s="160"/>
      <c r="T66" s="414"/>
      <c r="U66" s="160"/>
      <c r="V66" s="160"/>
      <c r="W66" s="160"/>
      <c r="X66" s="414"/>
      <c r="Y66" s="160"/>
      <c r="Z66" s="160"/>
      <c r="AA66" s="580"/>
    </row>
    <row r="67" spans="1:27" ht="24" customHeight="1">
      <c r="A67" s="577"/>
      <c r="B67" s="578"/>
      <c r="C67" s="578"/>
      <c r="D67" s="578"/>
      <c r="E67" s="578"/>
      <c r="F67" s="578"/>
      <c r="G67" s="578"/>
      <c r="H67" s="578"/>
      <c r="I67" s="578"/>
      <c r="J67" s="578"/>
      <c r="K67" s="579"/>
      <c r="L67" s="414"/>
      <c r="M67" s="160"/>
      <c r="N67" s="160"/>
      <c r="O67" s="160"/>
      <c r="P67" s="414"/>
      <c r="Q67" s="160"/>
      <c r="R67" s="160"/>
      <c r="S67" s="160"/>
      <c r="T67" s="414"/>
      <c r="U67" s="160"/>
      <c r="V67" s="160"/>
      <c r="W67" s="160"/>
      <c r="X67" s="414"/>
      <c r="Y67" s="160"/>
      <c r="Z67" s="160"/>
      <c r="AA67" s="580"/>
    </row>
    <row r="68" spans="1:27" ht="24" customHeight="1">
      <c r="A68" s="577"/>
      <c r="B68" s="578"/>
      <c r="C68" s="578"/>
      <c r="D68" s="578"/>
      <c r="E68" s="578"/>
      <c r="F68" s="578"/>
      <c r="G68" s="578"/>
      <c r="H68" s="578"/>
      <c r="I68" s="578"/>
      <c r="J68" s="578"/>
      <c r="K68" s="579"/>
      <c r="L68" s="414"/>
      <c r="M68" s="160"/>
      <c r="N68" s="160"/>
      <c r="O68" s="160"/>
      <c r="P68" s="414"/>
      <c r="Q68" s="160"/>
      <c r="R68" s="160"/>
      <c r="S68" s="160"/>
      <c r="T68" s="414"/>
      <c r="U68" s="160"/>
      <c r="V68" s="160"/>
      <c r="W68" s="160"/>
      <c r="X68" s="414"/>
      <c r="Y68" s="160"/>
      <c r="Z68" s="160"/>
      <c r="AA68" s="580"/>
    </row>
    <row r="69" spans="1:27" ht="24" customHeight="1">
      <c r="A69" s="577"/>
      <c r="B69" s="578"/>
      <c r="C69" s="578"/>
      <c r="D69" s="578"/>
      <c r="E69" s="578"/>
      <c r="F69" s="578"/>
      <c r="G69" s="578"/>
      <c r="H69" s="578"/>
      <c r="I69" s="578"/>
      <c r="J69" s="578"/>
      <c r="K69" s="579"/>
      <c r="L69" s="414"/>
      <c r="M69" s="160"/>
      <c r="N69" s="160"/>
      <c r="O69" s="160"/>
      <c r="P69" s="414"/>
      <c r="Q69" s="160"/>
      <c r="R69" s="160"/>
      <c r="S69" s="160"/>
      <c r="T69" s="414"/>
      <c r="U69" s="160"/>
      <c r="V69" s="160"/>
      <c r="W69" s="160"/>
      <c r="X69" s="414"/>
      <c r="Y69" s="160"/>
      <c r="Z69" s="160"/>
      <c r="AA69" s="580"/>
    </row>
    <row r="70" spans="1:27" ht="24" customHeight="1">
      <c r="A70" s="577"/>
      <c r="B70" s="578"/>
      <c r="C70" s="578"/>
      <c r="D70" s="578"/>
      <c r="E70" s="578"/>
      <c r="F70" s="578"/>
      <c r="G70" s="578"/>
      <c r="H70" s="578"/>
      <c r="I70" s="578"/>
      <c r="J70" s="578"/>
      <c r="K70" s="579"/>
      <c r="L70" s="414"/>
      <c r="M70" s="160"/>
      <c r="N70" s="160"/>
      <c r="O70" s="160"/>
      <c r="P70" s="414"/>
      <c r="Q70" s="160"/>
      <c r="R70" s="160"/>
      <c r="S70" s="160"/>
      <c r="T70" s="414"/>
      <c r="U70" s="160"/>
      <c r="V70" s="160"/>
      <c r="W70" s="160"/>
      <c r="X70" s="414"/>
      <c r="Y70" s="160"/>
      <c r="Z70" s="160"/>
      <c r="AA70" s="580"/>
    </row>
    <row r="71" spans="1:27" ht="24" customHeight="1">
      <c r="A71" s="577"/>
      <c r="B71" s="578"/>
      <c r="C71" s="578"/>
      <c r="D71" s="578"/>
      <c r="E71" s="578"/>
      <c r="F71" s="578"/>
      <c r="G71" s="578"/>
      <c r="H71" s="578"/>
      <c r="I71" s="578"/>
      <c r="J71" s="578"/>
      <c r="K71" s="579"/>
      <c r="L71" s="414"/>
      <c r="M71" s="160"/>
      <c r="N71" s="160"/>
      <c r="O71" s="160"/>
      <c r="P71" s="414"/>
      <c r="Q71" s="160"/>
      <c r="R71" s="160"/>
      <c r="S71" s="160"/>
      <c r="T71" s="414"/>
      <c r="U71" s="160"/>
      <c r="V71" s="160"/>
      <c r="W71" s="160"/>
      <c r="X71" s="414"/>
      <c r="Y71" s="160"/>
      <c r="Z71" s="160"/>
      <c r="AA71" s="580"/>
    </row>
    <row r="72" spans="1:27" ht="24" customHeight="1">
      <c r="A72" s="577"/>
      <c r="B72" s="578"/>
      <c r="C72" s="578"/>
      <c r="D72" s="578"/>
      <c r="E72" s="578"/>
      <c r="F72" s="578"/>
      <c r="G72" s="578"/>
      <c r="H72" s="578"/>
      <c r="I72" s="578"/>
      <c r="J72" s="578"/>
      <c r="K72" s="579"/>
      <c r="L72" s="414"/>
      <c r="M72" s="160"/>
      <c r="N72" s="160"/>
      <c r="O72" s="160"/>
      <c r="P72" s="414"/>
      <c r="Q72" s="160"/>
      <c r="R72" s="160"/>
      <c r="S72" s="160"/>
      <c r="T72" s="414"/>
      <c r="U72" s="160"/>
      <c r="V72" s="160"/>
      <c r="W72" s="160"/>
      <c r="X72" s="414"/>
      <c r="Y72" s="160"/>
      <c r="Z72" s="160"/>
      <c r="AA72" s="580"/>
    </row>
    <row r="73" spans="1:27" ht="24" customHeight="1">
      <c r="A73" s="577"/>
      <c r="B73" s="578"/>
      <c r="C73" s="578"/>
      <c r="D73" s="578"/>
      <c r="E73" s="578"/>
      <c r="F73" s="578"/>
      <c r="G73" s="578"/>
      <c r="H73" s="578"/>
      <c r="I73" s="578"/>
      <c r="J73" s="578"/>
      <c r="K73" s="579"/>
      <c r="L73" s="414"/>
      <c r="M73" s="160"/>
      <c r="N73" s="160"/>
      <c r="O73" s="160"/>
      <c r="P73" s="414"/>
      <c r="Q73" s="160"/>
      <c r="R73" s="160"/>
      <c r="S73" s="160"/>
      <c r="T73" s="414"/>
      <c r="U73" s="160"/>
      <c r="V73" s="160"/>
      <c r="W73" s="160"/>
      <c r="X73" s="414"/>
      <c r="Y73" s="160"/>
      <c r="Z73" s="160"/>
      <c r="AA73" s="580"/>
    </row>
    <row r="74" spans="1:27" ht="24" customHeight="1">
      <c r="A74" s="577"/>
      <c r="B74" s="578"/>
      <c r="C74" s="578"/>
      <c r="D74" s="578"/>
      <c r="E74" s="578"/>
      <c r="F74" s="578"/>
      <c r="G74" s="578"/>
      <c r="H74" s="578"/>
      <c r="I74" s="578"/>
      <c r="J74" s="578"/>
      <c r="K74" s="579"/>
      <c r="L74" s="414"/>
      <c r="M74" s="160"/>
      <c r="N74" s="160"/>
      <c r="O74" s="160"/>
      <c r="P74" s="414"/>
      <c r="Q74" s="160"/>
      <c r="R74" s="160"/>
      <c r="S74" s="160"/>
      <c r="T74" s="414"/>
      <c r="U74" s="160"/>
      <c r="V74" s="160"/>
      <c r="W74" s="160"/>
      <c r="X74" s="414"/>
      <c r="Y74" s="160"/>
      <c r="Z74" s="160"/>
      <c r="AA74" s="580"/>
    </row>
    <row r="75" spans="1:27" ht="24" customHeight="1">
      <c r="A75" s="577"/>
      <c r="B75" s="578"/>
      <c r="C75" s="578"/>
      <c r="D75" s="578"/>
      <c r="E75" s="578"/>
      <c r="F75" s="578"/>
      <c r="G75" s="578"/>
      <c r="H75" s="578"/>
      <c r="I75" s="578"/>
      <c r="J75" s="578"/>
      <c r="K75" s="579"/>
      <c r="L75" s="414"/>
      <c r="M75" s="160"/>
      <c r="N75" s="160"/>
      <c r="O75" s="160"/>
      <c r="P75" s="414"/>
      <c r="Q75" s="160"/>
      <c r="R75" s="160"/>
      <c r="S75" s="160"/>
      <c r="T75" s="414"/>
      <c r="U75" s="160"/>
      <c r="V75" s="160"/>
      <c r="W75" s="160"/>
      <c r="X75" s="414"/>
      <c r="Y75" s="160"/>
      <c r="Z75" s="160"/>
      <c r="AA75" s="580"/>
    </row>
    <row r="76" spans="1:27" ht="24" customHeight="1">
      <c r="A76" s="577"/>
      <c r="B76" s="578"/>
      <c r="C76" s="578"/>
      <c r="D76" s="578"/>
      <c r="E76" s="578"/>
      <c r="F76" s="578"/>
      <c r="G76" s="578"/>
      <c r="H76" s="578"/>
      <c r="I76" s="578"/>
      <c r="J76" s="578"/>
      <c r="K76" s="579"/>
      <c r="L76" s="414"/>
      <c r="M76" s="160"/>
      <c r="N76" s="160"/>
      <c r="O76" s="160"/>
      <c r="P76" s="414"/>
      <c r="Q76" s="160"/>
      <c r="R76" s="160"/>
      <c r="S76" s="160"/>
      <c r="T76" s="414"/>
      <c r="U76" s="160"/>
      <c r="V76" s="160"/>
      <c r="W76" s="160"/>
      <c r="X76" s="414"/>
      <c r="Y76" s="160"/>
      <c r="Z76" s="160"/>
      <c r="AA76" s="580"/>
    </row>
    <row r="77" spans="1:27" ht="24" customHeight="1">
      <c r="A77" s="577"/>
      <c r="B77" s="578"/>
      <c r="C77" s="578"/>
      <c r="D77" s="578"/>
      <c r="E77" s="578"/>
      <c r="F77" s="578"/>
      <c r="G77" s="578"/>
      <c r="H77" s="578"/>
      <c r="I77" s="578"/>
      <c r="J77" s="578"/>
      <c r="K77" s="579"/>
      <c r="L77" s="414"/>
      <c r="M77" s="160"/>
      <c r="N77" s="160"/>
      <c r="O77" s="160"/>
      <c r="P77" s="414"/>
      <c r="Q77" s="160"/>
      <c r="R77" s="160"/>
      <c r="S77" s="160"/>
      <c r="T77" s="414"/>
      <c r="U77" s="160"/>
      <c r="V77" s="160"/>
      <c r="W77" s="160"/>
      <c r="X77" s="414"/>
      <c r="Y77" s="160"/>
      <c r="Z77" s="160"/>
      <c r="AA77" s="580"/>
    </row>
    <row r="78" spans="1:27" ht="24" customHeight="1">
      <c r="A78" s="577"/>
      <c r="B78" s="578"/>
      <c r="C78" s="578"/>
      <c r="D78" s="578"/>
      <c r="E78" s="578"/>
      <c r="F78" s="578"/>
      <c r="G78" s="578"/>
      <c r="H78" s="578"/>
      <c r="I78" s="578"/>
      <c r="J78" s="578"/>
      <c r="K78" s="579"/>
      <c r="L78" s="414"/>
      <c r="M78" s="160"/>
      <c r="N78" s="160"/>
      <c r="O78" s="160"/>
      <c r="P78" s="414"/>
      <c r="Q78" s="160"/>
      <c r="R78" s="160"/>
      <c r="S78" s="160"/>
      <c r="T78" s="414"/>
      <c r="U78" s="160"/>
      <c r="V78" s="160"/>
      <c r="W78" s="160"/>
      <c r="X78" s="414"/>
      <c r="Y78" s="160"/>
      <c r="Z78" s="160"/>
      <c r="AA78" s="580"/>
    </row>
    <row r="79" spans="1:27" ht="24" customHeight="1">
      <c r="A79" s="577"/>
      <c r="B79" s="578"/>
      <c r="C79" s="578"/>
      <c r="D79" s="578"/>
      <c r="E79" s="578"/>
      <c r="F79" s="578"/>
      <c r="G79" s="578"/>
      <c r="H79" s="578"/>
      <c r="I79" s="578"/>
      <c r="J79" s="578"/>
      <c r="K79" s="579"/>
      <c r="L79" s="414"/>
      <c r="M79" s="160"/>
      <c r="N79" s="160"/>
      <c r="O79" s="160"/>
      <c r="P79" s="414"/>
      <c r="Q79" s="160"/>
      <c r="R79" s="160"/>
      <c r="S79" s="160"/>
      <c r="T79" s="414"/>
      <c r="U79" s="160"/>
      <c r="V79" s="160"/>
      <c r="W79" s="160"/>
      <c r="X79" s="414"/>
      <c r="Y79" s="160"/>
      <c r="Z79" s="160"/>
      <c r="AA79" s="580"/>
    </row>
    <row r="80" spans="1:27" ht="24" customHeight="1">
      <c r="A80" s="577"/>
      <c r="B80" s="578"/>
      <c r="C80" s="578"/>
      <c r="D80" s="578"/>
      <c r="E80" s="578"/>
      <c r="F80" s="578"/>
      <c r="G80" s="578"/>
      <c r="H80" s="578"/>
      <c r="I80" s="578"/>
      <c r="J80" s="578"/>
      <c r="K80" s="579"/>
      <c r="L80" s="414"/>
      <c r="M80" s="160"/>
      <c r="N80" s="160"/>
      <c r="O80" s="160"/>
      <c r="P80" s="414"/>
      <c r="Q80" s="160"/>
      <c r="R80" s="160"/>
      <c r="S80" s="160"/>
      <c r="T80" s="414"/>
      <c r="U80" s="160"/>
      <c r="V80" s="160"/>
      <c r="W80" s="160"/>
      <c r="X80" s="414"/>
      <c r="Y80" s="160"/>
      <c r="Z80" s="160"/>
      <c r="AA80" s="580"/>
    </row>
    <row r="81" spans="1:29" ht="24" customHeight="1">
      <c r="A81" s="577"/>
      <c r="B81" s="578"/>
      <c r="C81" s="578"/>
      <c r="D81" s="578"/>
      <c r="E81" s="578"/>
      <c r="F81" s="578"/>
      <c r="G81" s="578"/>
      <c r="H81" s="578"/>
      <c r="I81" s="578"/>
      <c r="J81" s="578"/>
      <c r="K81" s="579"/>
      <c r="L81" s="414"/>
      <c r="M81" s="160"/>
      <c r="N81" s="160"/>
      <c r="O81" s="160"/>
      <c r="P81" s="414"/>
      <c r="Q81" s="160"/>
      <c r="R81" s="160"/>
      <c r="S81" s="160"/>
      <c r="T81" s="414"/>
      <c r="U81" s="160"/>
      <c r="V81" s="160"/>
      <c r="W81" s="160"/>
      <c r="X81" s="414"/>
      <c r="Y81" s="160"/>
      <c r="Z81" s="160"/>
      <c r="AA81" s="580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zoomScaleNormal="100" zoomScaleSheetLayoutView="100" workbookViewId="0">
      <selection activeCell="U27" sqref="U27:AR29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49"/>
      <c r="B1" s="650"/>
      <c r="C1" s="650"/>
      <c r="D1" s="650"/>
      <c r="E1" s="650"/>
      <c r="F1" s="651"/>
      <c r="G1" s="661">
        <f>Bilgiler!D1</f>
        <v>0</v>
      </c>
      <c r="H1" s="662"/>
      <c r="I1" s="662"/>
      <c r="J1" s="662"/>
      <c r="K1" s="662"/>
      <c r="L1" s="662"/>
      <c r="M1" s="662"/>
      <c r="N1" s="662"/>
      <c r="O1" s="662"/>
      <c r="P1" s="662"/>
      <c r="Q1" s="662"/>
      <c r="R1" s="662"/>
      <c r="S1" s="662"/>
      <c r="T1" s="662"/>
      <c r="U1" s="663"/>
      <c r="V1" s="670">
        <f>Bilgiler!D2</f>
        <v>0</v>
      </c>
      <c r="W1" s="671"/>
      <c r="X1" s="671"/>
      <c r="Y1" s="671"/>
      <c r="Z1" s="671"/>
      <c r="AA1" s="671"/>
      <c r="AB1" s="671"/>
      <c r="AC1" s="671"/>
      <c r="AD1" s="671"/>
      <c r="AE1" s="671"/>
      <c r="AF1" s="671"/>
      <c r="AG1" s="671"/>
      <c r="AH1" s="671"/>
      <c r="AI1" s="671"/>
      <c r="AJ1" s="671"/>
      <c r="AK1" s="671"/>
      <c r="AL1" s="671"/>
      <c r="AM1" s="671"/>
      <c r="AN1" s="671"/>
      <c r="AO1" s="671"/>
      <c r="AP1" s="671"/>
      <c r="AQ1" s="671"/>
      <c r="AR1" s="671"/>
      <c r="AS1" s="671"/>
      <c r="AT1" s="671"/>
      <c r="AU1" s="671"/>
      <c r="AV1" s="671"/>
      <c r="AW1" s="671"/>
      <c r="AX1" s="671"/>
      <c r="AY1" s="671"/>
      <c r="AZ1" s="671"/>
      <c r="BA1" s="671"/>
      <c r="BB1" s="671"/>
      <c r="BC1" s="671"/>
      <c r="BD1" s="671"/>
      <c r="BE1" s="671"/>
      <c r="BF1" s="671"/>
      <c r="BG1" s="671"/>
      <c r="BH1" s="671"/>
      <c r="BI1" s="671"/>
      <c r="BJ1" s="671"/>
      <c r="BK1" s="671"/>
      <c r="BL1" s="672"/>
    </row>
    <row r="2" spans="1:64" ht="12.75" customHeight="1">
      <c r="A2" s="652"/>
      <c r="B2" s="653"/>
      <c r="C2" s="653"/>
      <c r="D2" s="653"/>
      <c r="E2" s="653"/>
      <c r="F2" s="654"/>
      <c r="G2" s="664"/>
      <c r="H2" s="665"/>
      <c r="I2" s="665"/>
      <c r="J2" s="665"/>
      <c r="K2" s="665"/>
      <c r="L2" s="665"/>
      <c r="M2" s="665"/>
      <c r="N2" s="665"/>
      <c r="O2" s="665"/>
      <c r="P2" s="665"/>
      <c r="Q2" s="665"/>
      <c r="R2" s="665"/>
      <c r="S2" s="665"/>
      <c r="T2" s="665"/>
      <c r="U2" s="666"/>
      <c r="V2" s="673"/>
      <c r="W2" s="674"/>
      <c r="X2" s="674"/>
      <c r="Y2" s="674"/>
      <c r="Z2" s="674"/>
      <c r="AA2" s="674"/>
      <c r="AB2" s="674"/>
      <c r="AC2" s="674"/>
      <c r="AD2" s="674"/>
      <c r="AE2" s="674"/>
      <c r="AF2" s="674"/>
      <c r="AG2" s="674"/>
      <c r="AH2" s="674"/>
      <c r="AI2" s="674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/>
      <c r="AX2" s="674"/>
      <c r="AY2" s="674"/>
      <c r="AZ2" s="674"/>
      <c r="BA2" s="674"/>
      <c r="BB2" s="674"/>
      <c r="BC2" s="674"/>
      <c r="BD2" s="674"/>
      <c r="BE2" s="674"/>
      <c r="BF2" s="674"/>
      <c r="BG2" s="674"/>
      <c r="BH2" s="674"/>
      <c r="BI2" s="674"/>
      <c r="BJ2" s="674"/>
      <c r="BK2" s="674"/>
      <c r="BL2" s="675"/>
    </row>
    <row r="3" spans="1:64" ht="12.75" customHeight="1">
      <c r="A3" s="652"/>
      <c r="B3" s="653"/>
      <c r="C3" s="653"/>
      <c r="D3" s="653"/>
      <c r="E3" s="653"/>
      <c r="F3" s="654"/>
      <c r="G3" s="664"/>
      <c r="H3" s="665"/>
      <c r="I3" s="665"/>
      <c r="J3" s="665"/>
      <c r="K3" s="665"/>
      <c r="L3" s="665"/>
      <c r="M3" s="665"/>
      <c r="N3" s="665"/>
      <c r="O3" s="665"/>
      <c r="P3" s="665"/>
      <c r="Q3" s="665"/>
      <c r="R3" s="665"/>
      <c r="S3" s="665"/>
      <c r="T3" s="665"/>
      <c r="U3" s="666"/>
      <c r="V3" s="673"/>
      <c r="W3" s="674"/>
      <c r="X3" s="674"/>
      <c r="Y3" s="674"/>
      <c r="Z3" s="674"/>
      <c r="AA3" s="674"/>
      <c r="AB3" s="674"/>
      <c r="AC3" s="674"/>
      <c r="AD3" s="674"/>
      <c r="AE3" s="674"/>
      <c r="AF3" s="674"/>
      <c r="AG3" s="674"/>
      <c r="AH3" s="674"/>
      <c r="AI3" s="674"/>
      <c r="AJ3" s="674"/>
      <c r="AK3" s="674"/>
      <c r="AL3" s="674"/>
      <c r="AM3" s="674"/>
      <c r="AN3" s="674"/>
      <c r="AO3" s="674"/>
      <c r="AP3" s="674"/>
      <c r="AQ3" s="674"/>
      <c r="AR3" s="674"/>
      <c r="AS3" s="674"/>
      <c r="AT3" s="674"/>
      <c r="AU3" s="674"/>
      <c r="AV3" s="674"/>
      <c r="AW3" s="674"/>
      <c r="AX3" s="674"/>
      <c r="AY3" s="674"/>
      <c r="AZ3" s="674"/>
      <c r="BA3" s="674"/>
      <c r="BB3" s="674"/>
      <c r="BC3" s="674"/>
      <c r="BD3" s="674"/>
      <c r="BE3" s="674"/>
      <c r="BF3" s="674"/>
      <c r="BG3" s="674"/>
      <c r="BH3" s="674"/>
      <c r="BI3" s="674"/>
      <c r="BJ3" s="674"/>
      <c r="BK3" s="674"/>
      <c r="BL3" s="675"/>
    </row>
    <row r="4" spans="1:64" ht="12.75" customHeight="1">
      <c r="A4" s="652"/>
      <c r="B4" s="653"/>
      <c r="C4" s="653"/>
      <c r="D4" s="653"/>
      <c r="E4" s="653"/>
      <c r="F4" s="654"/>
      <c r="G4" s="664"/>
      <c r="H4" s="665"/>
      <c r="I4" s="665"/>
      <c r="J4" s="665"/>
      <c r="K4" s="665"/>
      <c r="L4" s="665"/>
      <c r="M4" s="665"/>
      <c r="N4" s="665"/>
      <c r="O4" s="665"/>
      <c r="P4" s="665"/>
      <c r="Q4" s="665"/>
      <c r="R4" s="665"/>
      <c r="S4" s="665"/>
      <c r="T4" s="665"/>
      <c r="U4" s="666"/>
      <c r="V4" s="673">
        <f>Bilgiler!D3</f>
        <v>0</v>
      </c>
      <c r="W4" s="674"/>
      <c r="X4" s="674"/>
      <c r="Y4" s="674"/>
      <c r="Z4" s="674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5"/>
    </row>
    <row r="5" spans="1:64" ht="12.75" customHeight="1">
      <c r="A5" s="652"/>
      <c r="B5" s="653"/>
      <c r="C5" s="653"/>
      <c r="D5" s="653"/>
      <c r="E5" s="653"/>
      <c r="F5" s="654"/>
      <c r="G5" s="664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6"/>
      <c r="V5" s="673"/>
      <c r="W5" s="674"/>
      <c r="X5" s="674"/>
      <c r="Y5" s="674"/>
      <c r="Z5" s="674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5"/>
    </row>
    <row r="6" spans="1:64" ht="12.75" customHeight="1">
      <c r="A6" s="652"/>
      <c r="B6" s="653"/>
      <c r="C6" s="653"/>
      <c r="D6" s="653"/>
      <c r="E6" s="653"/>
      <c r="F6" s="654"/>
      <c r="G6" s="664"/>
      <c r="H6" s="665"/>
      <c r="I6" s="665"/>
      <c r="J6" s="665"/>
      <c r="K6" s="665"/>
      <c r="L6" s="665"/>
      <c r="M6" s="665"/>
      <c r="N6" s="665"/>
      <c r="O6" s="665"/>
      <c r="P6" s="665"/>
      <c r="Q6" s="665"/>
      <c r="R6" s="665"/>
      <c r="S6" s="665"/>
      <c r="T6" s="665"/>
      <c r="U6" s="666"/>
      <c r="V6" s="676"/>
      <c r="W6" s="677"/>
      <c r="X6" s="677"/>
      <c r="Y6" s="677"/>
      <c r="Z6" s="677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8"/>
    </row>
    <row r="7" spans="1:64" ht="12.75" customHeight="1">
      <c r="A7" s="652"/>
      <c r="B7" s="653"/>
      <c r="C7" s="653"/>
      <c r="D7" s="653"/>
      <c r="E7" s="653"/>
      <c r="F7" s="654"/>
      <c r="G7" s="664"/>
      <c r="H7" s="665"/>
      <c r="I7" s="665"/>
      <c r="J7" s="665"/>
      <c r="K7" s="665"/>
      <c r="L7" s="665"/>
      <c r="M7" s="665"/>
      <c r="N7" s="665"/>
      <c r="O7" s="665"/>
      <c r="P7" s="665"/>
      <c r="Q7" s="665"/>
      <c r="R7" s="665"/>
      <c r="S7" s="665"/>
      <c r="T7" s="665"/>
      <c r="U7" s="666"/>
      <c r="V7" s="635" t="s">
        <v>108</v>
      </c>
      <c r="W7" s="636"/>
      <c r="X7" s="636"/>
      <c r="Y7" s="636"/>
      <c r="Z7" s="636"/>
      <c r="AA7" s="636"/>
      <c r="AB7" s="636"/>
      <c r="AC7" s="636"/>
      <c r="AD7" s="636"/>
      <c r="AE7" s="636"/>
      <c r="AF7" s="636"/>
      <c r="AG7" s="636"/>
      <c r="AH7" s="636"/>
      <c r="AI7" s="636"/>
      <c r="AJ7" s="636"/>
      <c r="AK7" s="636"/>
      <c r="AL7" s="636"/>
      <c r="AM7" s="636"/>
      <c r="AN7" s="636"/>
      <c r="AO7" s="636"/>
      <c r="AP7" s="636"/>
      <c r="AQ7" s="636"/>
      <c r="AR7" s="636"/>
      <c r="AS7" s="636"/>
      <c r="AT7" s="636"/>
      <c r="AU7" s="636"/>
      <c r="AV7" s="636"/>
      <c r="AW7" s="636"/>
      <c r="AX7" s="637"/>
      <c r="AY7" s="641" t="s">
        <v>8</v>
      </c>
      <c r="AZ7" s="641"/>
      <c r="BA7" s="641"/>
      <c r="BB7" s="641"/>
      <c r="BC7" s="641"/>
      <c r="BD7" s="641"/>
      <c r="BE7" s="641"/>
      <c r="BF7" s="642">
        <f>Bilgiler!D12</f>
        <v>0</v>
      </c>
      <c r="BG7" s="642"/>
      <c r="BH7" s="642"/>
      <c r="BI7" s="642"/>
      <c r="BJ7" s="642"/>
      <c r="BK7" s="642"/>
      <c r="BL7" s="643"/>
    </row>
    <row r="8" spans="1:64" ht="12.75" customHeight="1">
      <c r="A8" s="655"/>
      <c r="B8" s="656"/>
      <c r="C8" s="656"/>
      <c r="D8" s="656"/>
      <c r="E8" s="656"/>
      <c r="F8" s="657"/>
      <c r="G8" s="667"/>
      <c r="H8" s="668"/>
      <c r="I8" s="668"/>
      <c r="J8" s="668"/>
      <c r="K8" s="668"/>
      <c r="L8" s="668"/>
      <c r="M8" s="668"/>
      <c r="N8" s="668"/>
      <c r="O8" s="668"/>
      <c r="P8" s="668"/>
      <c r="Q8" s="668"/>
      <c r="R8" s="668"/>
      <c r="S8" s="668"/>
      <c r="T8" s="668"/>
      <c r="U8" s="669"/>
      <c r="V8" s="638"/>
      <c r="W8" s="639"/>
      <c r="X8" s="639"/>
      <c r="Y8" s="639"/>
      <c r="Z8" s="639"/>
      <c r="AA8" s="639"/>
      <c r="AB8" s="639"/>
      <c r="AC8" s="639"/>
      <c r="AD8" s="639"/>
      <c r="AE8" s="639"/>
      <c r="AF8" s="639"/>
      <c r="AG8" s="639"/>
      <c r="AH8" s="639"/>
      <c r="AI8" s="639"/>
      <c r="AJ8" s="639"/>
      <c r="AK8" s="639"/>
      <c r="AL8" s="639"/>
      <c r="AM8" s="639"/>
      <c r="AN8" s="639"/>
      <c r="AO8" s="639"/>
      <c r="AP8" s="639"/>
      <c r="AQ8" s="639"/>
      <c r="AR8" s="639"/>
      <c r="AS8" s="639"/>
      <c r="AT8" s="639"/>
      <c r="AU8" s="639"/>
      <c r="AV8" s="639"/>
      <c r="AW8" s="639"/>
      <c r="AX8" s="640"/>
      <c r="AY8" s="641" t="s">
        <v>18</v>
      </c>
      <c r="AZ8" s="641"/>
      <c r="BA8" s="641"/>
      <c r="BB8" s="641"/>
      <c r="BC8" s="641"/>
      <c r="BD8" s="641"/>
      <c r="BE8" s="641"/>
      <c r="BF8" s="642">
        <v>1</v>
      </c>
      <c r="BG8" s="642"/>
      <c r="BH8" s="642"/>
      <c r="BI8" s="642"/>
      <c r="BJ8" s="642"/>
      <c r="BK8" s="642"/>
      <c r="BL8" s="643"/>
    </row>
    <row r="9" spans="1:64" ht="15.75" customHeight="1">
      <c r="A9" s="679" t="s">
        <v>46</v>
      </c>
      <c r="B9" s="503"/>
      <c r="C9" s="503"/>
      <c r="D9" s="503"/>
      <c r="E9" s="503" t="s">
        <v>109</v>
      </c>
      <c r="F9" s="503"/>
      <c r="G9" s="503"/>
      <c r="H9" s="503"/>
      <c r="I9" s="503"/>
      <c r="J9" s="503"/>
      <c r="K9" s="503"/>
      <c r="L9" s="503"/>
      <c r="M9" s="503"/>
      <c r="N9" s="503"/>
      <c r="O9" s="503"/>
      <c r="P9" s="503"/>
      <c r="Q9" s="503"/>
      <c r="R9" s="503"/>
      <c r="S9" s="503"/>
      <c r="T9" s="503"/>
      <c r="U9" s="687" t="s">
        <v>110</v>
      </c>
      <c r="V9" s="687"/>
      <c r="W9" s="658" t="s">
        <v>111</v>
      </c>
      <c r="X9" s="658"/>
      <c r="Y9" s="658"/>
      <c r="Z9" s="658"/>
      <c r="AA9" s="658" t="s">
        <v>112</v>
      </c>
      <c r="AB9" s="658"/>
      <c r="AC9" s="658"/>
      <c r="AD9" s="658"/>
      <c r="AE9" s="658" t="s">
        <v>29</v>
      </c>
      <c r="AF9" s="658"/>
      <c r="AG9" s="658"/>
      <c r="AH9" s="658"/>
      <c r="AI9" s="658"/>
      <c r="AJ9" s="658" t="s">
        <v>113</v>
      </c>
      <c r="AK9" s="658"/>
      <c r="AL9" s="658"/>
      <c r="AM9" s="658"/>
      <c r="AN9" s="169" t="s">
        <v>147</v>
      </c>
      <c r="AO9" s="681"/>
      <c r="AP9" s="681"/>
      <c r="AQ9" s="170"/>
      <c r="AR9" s="169" t="s">
        <v>148</v>
      </c>
      <c r="AS9" s="681"/>
      <c r="AT9" s="681"/>
      <c r="AU9" s="170"/>
      <c r="AV9" s="169" t="s">
        <v>149</v>
      </c>
      <c r="AW9" s="681"/>
      <c r="AX9" s="681"/>
      <c r="AY9" s="170"/>
      <c r="AZ9" s="658" t="s">
        <v>114</v>
      </c>
      <c r="BA9" s="658"/>
      <c r="BB9" s="658"/>
      <c r="BC9" s="658"/>
      <c r="BD9" s="658" t="s">
        <v>156</v>
      </c>
      <c r="BE9" s="658"/>
      <c r="BF9" s="658"/>
      <c r="BG9" s="658"/>
      <c r="BH9" s="658"/>
      <c r="BI9" s="658" t="s">
        <v>115</v>
      </c>
      <c r="BJ9" s="658"/>
      <c r="BK9" s="658"/>
      <c r="BL9" s="680"/>
    </row>
    <row r="10" spans="1:64" ht="15.75" customHeight="1">
      <c r="A10" s="679"/>
      <c r="B10" s="503"/>
      <c r="C10" s="503"/>
      <c r="D10" s="503"/>
      <c r="E10" s="503"/>
      <c r="F10" s="503"/>
      <c r="G10" s="503"/>
      <c r="H10" s="503"/>
      <c r="I10" s="503"/>
      <c r="J10" s="503"/>
      <c r="K10" s="503"/>
      <c r="L10" s="503"/>
      <c r="M10" s="503"/>
      <c r="N10" s="503"/>
      <c r="O10" s="503"/>
      <c r="P10" s="503"/>
      <c r="Q10" s="503"/>
      <c r="R10" s="503"/>
      <c r="S10" s="503"/>
      <c r="T10" s="503"/>
      <c r="U10" s="687"/>
      <c r="V10" s="687"/>
      <c r="W10" s="658"/>
      <c r="X10" s="658"/>
      <c r="Y10" s="658"/>
      <c r="Z10" s="658"/>
      <c r="AA10" s="658"/>
      <c r="AB10" s="658"/>
      <c r="AC10" s="658"/>
      <c r="AD10" s="658"/>
      <c r="AE10" s="658"/>
      <c r="AF10" s="658"/>
      <c r="AG10" s="658"/>
      <c r="AH10" s="658"/>
      <c r="AI10" s="658"/>
      <c r="AJ10" s="658"/>
      <c r="AK10" s="658"/>
      <c r="AL10" s="658"/>
      <c r="AM10" s="658"/>
      <c r="AN10" s="682"/>
      <c r="AO10" s="683"/>
      <c r="AP10" s="683"/>
      <c r="AQ10" s="684"/>
      <c r="AR10" s="682"/>
      <c r="AS10" s="683"/>
      <c r="AT10" s="683"/>
      <c r="AU10" s="684"/>
      <c r="AV10" s="682"/>
      <c r="AW10" s="683"/>
      <c r="AX10" s="683"/>
      <c r="AY10" s="684"/>
      <c r="AZ10" s="658"/>
      <c r="BA10" s="658"/>
      <c r="BB10" s="658"/>
      <c r="BC10" s="658"/>
      <c r="BD10" s="658"/>
      <c r="BE10" s="658"/>
      <c r="BF10" s="658"/>
      <c r="BG10" s="658"/>
      <c r="BH10" s="658"/>
      <c r="BI10" s="658"/>
      <c r="BJ10" s="658"/>
      <c r="BK10" s="658"/>
      <c r="BL10" s="680"/>
    </row>
    <row r="11" spans="1:64" ht="15.75" customHeight="1">
      <c r="A11" s="679"/>
      <c r="B11" s="503"/>
      <c r="C11" s="503"/>
      <c r="D11" s="503"/>
      <c r="E11" s="503"/>
      <c r="F11" s="503"/>
      <c r="G11" s="503"/>
      <c r="H11" s="503"/>
      <c r="I11" s="503"/>
      <c r="J11" s="503"/>
      <c r="K11" s="503"/>
      <c r="L11" s="503"/>
      <c r="M11" s="503"/>
      <c r="N11" s="503"/>
      <c r="O11" s="503"/>
      <c r="P11" s="503"/>
      <c r="Q11" s="503"/>
      <c r="R11" s="503"/>
      <c r="S11" s="503"/>
      <c r="T11" s="503"/>
      <c r="U11" s="687"/>
      <c r="V11" s="687"/>
      <c r="W11" s="658"/>
      <c r="X11" s="658"/>
      <c r="Y11" s="658"/>
      <c r="Z11" s="658"/>
      <c r="AA11" s="658"/>
      <c r="AB11" s="658"/>
      <c r="AC11" s="658"/>
      <c r="AD11" s="658"/>
      <c r="AE11" s="658"/>
      <c r="AF11" s="658"/>
      <c r="AG11" s="658"/>
      <c r="AH11" s="658"/>
      <c r="AI11" s="658"/>
      <c r="AJ11" s="658"/>
      <c r="AK11" s="658"/>
      <c r="AL11" s="658"/>
      <c r="AM11" s="658"/>
      <c r="AN11" s="682"/>
      <c r="AO11" s="683"/>
      <c r="AP11" s="683"/>
      <c r="AQ11" s="684"/>
      <c r="AR11" s="682"/>
      <c r="AS11" s="683"/>
      <c r="AT11" s="683"/>
      <c r="AU11" s="684"/>
      <c r="AV11" s="682"/>
      <c r="AW11" s="683"/>
      <c r="AX11" s="683"/>
      <c r="AY11" s="684"/>
      <c r="AZ11" s="658"/>
      <c r="BA11" s="658"/>
      <c r="BB11" s="658"/>
      <c r="BC11" s="658"/>
      <c r="BD11" s="658"/>
      <c r="BE11" s="658"/>
      <c r="BF11" s="658"/>
      <c r="BG11" s="658"/>
      <c r="BH11" s="658"/>
      <c r="BI11" s="658"/>
      <c r="BJ11" s="658"/>
      <c r="BK11" s="658"/>
      <c r="BL11" s="680"/>
    </row>
    <row r="12" spans="1:64" ht="15.75" customHeight="1">
      <c r="A12" s="679"/>
      <c r="B12" s="503"/>
      <c r="C12" s="503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3"/>
      <c r="O12" s="503"/>
      <c r="P12" s="503"/>
      <c r="Q12" s="503"/>
      <c r="R12" s="503"/>
      <c r="S12" s="503"/>
      <c r="T12" s="503"/>
      <c r="U12" s="687"/>
      <c r="V12" s="687"/>
      <c r="W12" s="658"/>
      <c r="X12" s="658"/>
      <c r="Y12" s="658"/>
      <c r="Z12" s="658"/>
      <c r="AA12" s="658"/>
      <c r="AB12" s="658"/>
      <c r="AC12" s="658"/>
      <c r="AD12" s="658"/>
      <c r="AE12" s="658"/>
      <c r="AF12" s="658"/>
      <c r="AG12" s="658"/>
      <c r="AH12" s="658"/>
      <c r="AI12" s="658"/>
      <c r="AJ12" s="658"/>
      <c r="AK12" s="658"/>
      <c r="AL12" s="658"/>
      <c r="AM12" s="658"/>
      <c r="AN12" s="171"/>
      <c r="AO12" s="685"/>
      <c r="AP12" s="685"/>
      <c r="AQ12" s="172"/>
      <c r="AR12" s="171"/>
      <c r="AS12" s="685"/>
      <c r="AT12" s="685"/>
      <c r="AU12" s="172"/>
      <c r="AV12" s="171"/>
      <c r="AW12" s="685"/>
      <c r="AX12" s="685"/>
      <c r="AY12" s="172"/>
      <c r="AZ12" s="658"/>
      <c r="BA12" s="658"/>
      <c r="BB12" s="658"/>
      <c r="BC12" s="658"/>
      <c r="BD12" s="658"/>
      <c r="BE12" s="658"/>
      <c r="BF12" s="658"/>
      <c r="BG12" s="658"/>
      <c r="BH12" s="658"/>
      <c r="BI12" s="658"/>
      <c r="BJ12" s="658"/>
      <c r="BK12" s="658"/>
      <c r="BL12" s="680"/>
    </row>
    <row r="13" spans="1:64" ht="16.5" customHeight="1">
      <c r="A13" s="659"/>
      <c r="B13" s="660"/>
      <c r="C13" s="660"/>
      <c r="D13" s="660"/>
      <c r="E13" s="660"/>
      <c r="F13" s="660"/>
      <c r="G13" s="660"/>
      <c r="H13" s="660"/>
      <c r="I13" s="660"/>
      <c r="J13" s="660"/>
      <c r="K13" s="660"/>
      <c r="L13" s="660"/>
      <c r="M13" s="660"/>
      <c r="N13" s="660"/>
      <c r="O13" s="660"/>
      <c r="P13" s="660"/>
      <c r="Q13" s="660"/>
      <c r="R13" s="660"/>
      <c r="S13" s="660"/>
      <c r="T13" s="660"/>
      <c r="U13" s="660"/>
      <c r="V13" s="660"/>
      <c r="W13" s="503">
        <v>1</v>
      </c>
      <c r="X13" s="503"/>
      <c r="Y13" s="503"/>
      <c r="Z13" s="503"/>
      <c r="AA13" s="503">
        <v>2</v>
      </c>
      <c r="AB13" s="503"/>
      <c r="AC13" s="503"/>
      <c r="AD13" s="503"/>
      <c r="AE13" s="503" t="s">
        <v>116</v>
      </c>
      <c r="AF13" s="503"/>
      <c r="AG13" s="503"/>
      <c r="AH13" s="503"/>
      <c r="AI13" s="503"/>
      <c r="AJ13" s="503">
        <v>4</v>
      </c>
      <c r="AK13" s="503"/>
      <c r="AL13" s="503"/>
      <c r="AM13" s="503"/>
      <c r="AN13" s="647">
        <v>5</v>
      </c>
      <c r="AO13" s="502"/>
      <c r="AP13" s="502"/>
      <c r="AQ13" s="648"/>
      <c r="AR13" s="647" t="s">
        <v>150</v>
      </c>
      <c r="AS13" s="502"/>
      <c r="AT13" s="502"/>
      <c r="AU13" s="648"/>
      <c r="AV13" s="647" t="s">
        <v>151</v>
      </c>
      <c r="AW13" s="502"/>
      <c r="AX13" s="502"/>
      <c r="AY13" s="648"/>
      <c r="AZ13" s="503" t="s">
        <v>157</v>
      </c>
      <c r="BA13" s="503"/>
      <c r="BB13" s="503"/>
      <c r="BC13" s="503"/>
      <c r="BD13" s="503" t="s">
        <v>152</v>
      </c>
      <c r="BE13" s="503"/>
      <c r="BF13" s="503"/>
      <c r="BG13" s="503"/>
      <c r="BH13" s="503"/>
      <c r="BI13" s="660"/>
      <c r="BJ13" s="660"/>
      <c r="BK13" s="660"/>
      <c r="BL13" s="686"/>
    </row>
    <row r="14" spans="1:64" ht="45" customHeight="1">
      <c r="A14" s="620" t="str">
        <f>BFTC!B5</f>
        <v>KASKİ-01</v>
      </c>
      <c r="B14" s="621"/>
      <c r="C14" s="621"/>
      <c r="D14" s="622"/>
      <c r="E14" s="623" t="str">
        <f>BFTC!C5</f>
        <v>Sayaç Endekslerinin Okunması, Mobil Okuma Cihazı İle Tespiti ve Makbuz Dağıtılması İşlemi</v>
      </c>
      <c r="F14" s="624"/>
      <c r="G14" s="624"/>
      <c r="H14" s="624"/>
      <c r="I14" s="624"/>
      <c r="J14" s="624"/>
      <c r="K14" s="624"/>
      <c r="L14" s="624"/>
      <c r="M14" s="624"/>
      <c r="N14" s="624"/>
      <c r="O14" s="624"/>
      <c r="P14" s="624"/>
      <c r="Q14" s="624"/>
      <c r="R14" s="624"/>
      <c r="S14" s="624"/>
      <c r="T14" s="625"/>
      <c r="U14" s="626" t="str">
        <f>+BFTC!D5</f>
        <v>Adet</v>
      </c>
      <c r="V14" s="627"/>
      <c r="W14" s="615">
        <f>+BFTC!E5</f>
        <v>1000000</v>
      </c>
      <c r="X14" s="615"/>
      <c r="Y14" s="615"/>
      <c r="Z14" s="615"/>
      <c r="AA14" s="615">
        <f>+BFTC!F5</f>
        <v>40</v>
      </c>
      <c r="AB14" s="615"/>
      <c r="AC14" s="615"/>
      <c r="AD14" s="615"/>
      <c r="AE14" s="628">
        <f>AA14*W14</f>
        <v>40000000</v>
      </c>
      <c r="AF14" s="628"/>
      <c r="AG14" s="628"/>
      <c r="AH14" s="628"/>
      <c r="AI14" s="628"/>
      <c r="AJ14" s="615">
        <f>IF(+A14=0,0,HLOOKUP(A14,İcmal!$E$8:$BH$52,43,0))</f>
        <v>0</v>
      </c>
      <c r="AK14" s="615"/>
      <c r="AL14" s="615"/>
      <c r="AM14" s="615"/>
      <c r="AN14" s="615">
        <f>IF(+A14=0,0,HLOOKUP(A14,İcmal!$E$8:$BH$52,17,0))</f>
        <v>0</v>
      </c>
      <c r="AO14" s="615"/>
      <c r="AP14" s="615"/>
      <c r="AQ14" s="615"/>
      <c r="AR14" s="615">
        <f>AJ14+AN14</f>
        <v>0</v>
      </c>
      <c r="AS14" s="615"/>
      <c r="AT14" s="615"/>
      <c r="AU14" s="615"/>
      <c r="AV14" s="629">
        <f>AA14*AJ14</f>
        <v>0</v>
      </c>
      <c r="AW14" s="630"/>
      <c r="AX14" s="630"/>
      <c r="AY14" s="631"/>
      <c r="AZ14" s="632">
        <f t="shared" ref="AZ14" si="0">IF(AE14=0,0,(BD14/AE14))</f>
        <v>0</v>
      </c>
      <c r="BA14" s="633"/>
      <c r="BB14" s="633"/>
      <c r="BC14" s="634"/>
      <c r="BD14" s="615">
        <f>AA14*AR14</f>
        <v>0</v>
      </c>
      <c r="BE14" s="615"/>
      <c r="BF14" s="615"/>
      <c r="BG14" s="615"/>
      <c r="BH14" s="615"/>
      <c r="BI14" s="615"/>
      <c r="BJ14" s="615"/>
      <c r="BK14" s="615"/>
      <c r="BL14" s="616"/>
    </row>
    <row r="15" spans="1:64" ht="45" customHeight="1">
      <c r="A15" s="620" t="str">
        <f>BFTC!B6</f>
        <v>KASKİ-02</v>
      </c>
      <c r="B15" s="621"/>
      <c r="C15" s="621"/>
      <c r="D15" s="622"/>
      <c r="E15" s="623" t="str">
        <f>BFTC!C6</f>
        <v>Sayaç Endekslerinin Yerinde Yapılan Kontrollerde Tespit Edilememesi (kıyas okuma veya evde yok okuma) İşlemi</v>
      </c>
      <c r="F15" s="624"/>
      <c r="G15" s="624"/>
      <c r="H15" s="624"/>
      <c r="I15" s="624"/>
      <c r="J15" s="624"/>
      <c r="K15" s="624"/>
      <c r="L15" s="624"/>
      <c r="M15" s="624"/>
      <c r="N15" s="624"/>
      <c r="O15" s="624"/>
      <c r="P15" s="624"/>
      <c r="Q15" s="624"/>
      <c r="R15" s="624"/>
      <c r="S15" s="624"/>
      <c r="T15" s="625"/>
      <c r="U15" s="626" t="str">
        <f>+BFTC!D6</f>
        <v>Adet</v>
      </c>
      <c r="V15" s="627"/>
      <c r="W15" s="615">
        <f>+BFTC!E6</f>
        <v>50000</v>
      </c>
      <c r="X15" s="615"/>
      <c r="Y15" s="615"/>
      <c r="Z15" s="615"/>
      <c r="AA15" s="615">
        <f>+BFTC!F6</f>
        <v>20</v>
      </c>
      <c r="AB15" s="615"/>
      <c r="AC15" s="615"/>
      <c r="AD15" s="615"/>
      <c r="AE15" s="628">
        <f t="shared" ref="AE15:AE18" si="1">AA15*W15</f>
        <v>1000000</v>
      </c>
      <c r="AF15" s="628"/>
      <c r="AG15" s="628"/>
      <c r="AH15" s="628"/>
      <c r="AI15" s="628"/>
      <c r="AJ15" s="615">
        <f>IF(+A15=0,0,HLOOKUP(A15,İcmal!$E$8:$BH$52,43,0))</f>
        <v>0</v>
      </c>
      <c r="AK15" s="615"/>
      <c r="AL15" s="615"/>
      <c r="AM15" s="615"/>
      <c r="AN15" s="629">
        <f>IF(+A15=0,0,HLOOKUP(A15,İcmal!$E$8:$BH$52,17,0))</f>
        <v>0</v>
      </c>
      <c r="AO15" s="630"/>
      <c r="AP15" s="630"/>
      <c r="AQ15" s="631"/>
      <c r="AR15" s="615">
        <f t="shared" ref="AR15:AR18" si="2">AJ15+AN15</f>
        <v>0</v>
      </c>
      <c r="AS15" s="615"/>
      <c r="AT15" s="615"/>
      <c r="AU15" s="615"/>
      <c r="AV15" s="629">
        <f t="shared" ref="AV15:AV18" si="3">AA15*AJ15</f>
        <v>0</v>
      </c>
      <c r="AW15" s="630"/>
      <c r="AX15" s="630"/>
      <c r="AY15" s="631"/>
      <c r="AZ15" s="632">
        <f t="shared" ref="AZ15:AZ18" si="4">IF(AE15=0,0,(BD15/AE15))</f>
        <v>0</v>
      </c>
      <c r="BA15" s="633"/>
      <c r="BB15" s="633"/>
      <c r="BC15" s="634"/>
      <c r="BD15" s="615">
        <f t="shared" ref="BD15:BD18" si="5">AA15*AR15</f>
        <v>0</v>
      </c>
      <c r="BE15" s="615"/>
      <c r="BF15" s="615"/>
      <c r="BG15" s="615"/>
      <c r="BH15" s="615"/>
      <c r="BI15" s="615"/>
      <c r="BJ15" s="615"/>
      <c r="BK15" s="615"/>
      <c r="BL15" s="616"/>
    </row>
    <row r="16" spans="1:64" ht="45" customHeight="1">
      <c r="A16" s="620" t="str">
        <f>BFTC!B7</f>
        <v>KASKİ-03</v>
      </c>
      <c r="B16" s="621"/>
      <c r="C16" s="621"/>
      <c r="D16" s="622"/>
      <c r="E16" s="623" t="str">
        <f>BFTC!C7</f>
        <v>Mühürsüz Sayaçların Mühürlemesi</v>
      </c>
      <c r="F16" s="624"/>
      <c r="G16" s="624"/>
      <c r="H16" s="624"/>
      <c r="I16" s="624"/>
      <c r="J16" s="624"/>
      <c r="K16" s="624"/>
      <c r="L16" s="624"/>
      <c r="M16" s="624"/>
      <c r="N16" s="624"/>
      <c r="O16" s="624"/>
      <c r="P16" s="624"/>
      <c r="Q16" s="624"/>
      <c r="R16" s="624"/>
      <c r="S16" s="624"/>
      <c r="T16" s="625"/>
      <c r="U16" s="626" t="str">
        <f>+BFTC!D7</f>
        <v>Adet</v>
      </c>
      <c r="V16" s="627"/>
      <c r="W16" s="615">
        <f>+BFTC!E7</f>
        <v>20000</v>
      </c>
      <c r="X16" s="615"/>
      <c r="Y16" s="615"/>
      <c r="Z16" s="615"/>
      <c r="AA16" s="615">
        <f>+BFTC!F7</f>
        <v>50</v>
      </c>
      <c r="AB16" s="615"/>
      <c r="AC16" s="615"/>
      <c r="AD16" s="615"/>
      <c r="AE16" s="628">
        <f t="shared" si="1"/>
        <v>1000000</v>
      </c>
      <c r="AF16" s="628"/>
      <c r="AG16" s="628"/>
      <c r="AH16" s="628"/>
      <c r="AI16" s="628"/>
      <c r="AJ16" s="615">
        <f>IF(+A16=0,0,HLOOKUP(A16,İcmal!$E$8:$BH$52,43,0))</f>
        <v>0</v>
      </c>
      <c r="AK16" s="615"/>
      <c r="AL16" s="615"/>
      <c r="AM16" s="615"/>
      <c r="AN16" s="629">
        <f>IF(+A16=0,0,HLOOKUP(A16,İcmal!$E$8:$BH$52,17,0))</f>
        <v>0</v>
      </c>
      <c r="AO16" s="630"/>
      <c r="AP16" s="630"/>
      <c r="AQ16" s="631"/>
      <c r="AR16" s="615">
        <f t="shared" si="2"/>
        <v>0</v>
      </c>
      <c r="AS16" s="615"/>
      <c r="AT16" s="615"/>
      <c r="AU16" s="615"/>
      <c r="AV16" s="629">
        <f t="shared" si="3"/>
        <v>0</v>
      </c>
      <c r="AW16" s="630"/>
      <c r="AX16" s="630"/>
      <c r="AY16" s="631"/>
      <c r="AZ16" s="632">
        <f t="shared" si="4"/>
        <v>0</v>
      </c>
      <c r="BA16" s="633"/>
      <c r="BB16" s="633"/>
      <c r="BC16" s="634"/>
      <c r="BD16" s="615">
        <f t="shared" si="5"/>
        <v>0</v>
      </c>
      <c r="BE16" s="615"/>
      <c r="BF16" s="615"/>
      <c r="BG16" s="615"/>
      <c r="BH16" s="615"/>
      <c r="BI16" s="615"/>
      <c r="BJ16" s="615"/>
      <c r="BK16" s="615"/>
      <c r="BL16" s="616"/>
    </row>
    <row r="17" spans="1:66" ht="45" customHeight="1">
      <c r="A17" s="620" t="str">
        <f>BFTC!B8</f>
        <v>KASKİ-04</v>
      </c>
      <c r="B17" s="621"/>
      <c r="C17" s="621"/>
      <c r="D17" s="622"/>
      <c r="E17" s="623" t="str">
        <f>BFTC!C8</f>
        <v>Sayaç Sökme ve Sayaç Takma</v>
      </c>
      <c r="F17" s="624"/>
      <c r="G17" s="624"/>
      <c r="H17" s="624"/>
      <c r="I17" s="624"/>
      <c r="J17" s="624"/>
      <c r="K17" s="624"/>
      <c r="L17" s="624"/>
      <c r="M17" s="624"/>
      <c r="N17" s="624"/>
      <c r="O17" s="624"/>
      <c r="P17" s="624"/>
      <c r="Q17" s="624"/>
      <c r="R17" s="624"/>
      <c r="S17" s="624"/>
      <c r="T17" s="625"/>
      <c r="U17" s="626" t="str">
        <f>+BFTC!D8</f>
        <v>Adet</v>
      </c>
      <c r="V17" s="627"/>
      <c r="W17" s="615">
        <f>+BFTC!E8</f>
        <v>40000</v>
      </c>
      <c r="X17" s="615"/>
      <c r="Y17" s="615"/>
      <c r="Z17" s="615"/>
      <c r="AA17" s="615">
        <f>+BFTC!F8</f>
        <v>280</v>
      </c>
      <c r="AB17" s="615"/>
      <c r="AC17" s="615"/>
      <c r="AD17" s="615"/>
      <c r="AE17" s="628">
        <f t="shared" si="1"/>
        <v>11200000</v>
      </c>
      <c r="AF17" s="628"/>
      <c r="AG17" s="628"/>
      <c r="AH17" s="628"/>
      <c r="AI17" s="628"/>
      <c r="AJ17" s="615">
        <f>IF(+A17=0,0,HLOOKUP(A17,İcmal!$E$8:$BH$52,43,0))</f>
        <v>0</v>
      </c>
      <c r="AK17" s="615"/>
      <c r="AL17" s="615"/>
      <c r="AM17" s="615"/>
      <c r="AN17" s="629">
        <f>IF(+A17=0,0,HLOOKUP(A17,İcmal!$E$8:$BH$52,17,0))</f>
        <v>0</v>
      </c>
      <c r="AO17" s="630"/>
      <c r="AP17" s="630"/>
      <c r="AQ17" s="631"/>
      <c r="AR17" s="615">
        <f t="shared" si="2"/>
        <v>0</v>
      </c>
      <c r="AS17" s="615"/>
      <c r="AT17" s="615"/>
      <c r="AU17" s="615"/>
      <c r="AV17" s="629">
        <f t="shared" si="3"/>
        <v>0</v>
      </c>
      <c r="AW17" s="630"/>
      <c r="AX17" s="630"/>
      <c r="AY17" s="631"/>
      <c r="AZ17" s="632">
        <f t="shared" si="4"/>
        <v>0</v>
      </c>
      <c r="BA17" s="633"/>
      <c r="BB17" s="633"/>
      <c r="BC17" s="634"/>
      <c r="BD17" s="615">
        <f t="shared" si="5"/>
        <v>0</v>
      </c>
      <c r="BE17" s="615"/>
      <c r="BF17" s="615"/>
      <c r="BG17" s="615"/>
      <c r="BH17" s="615"/>
      <c r="BI17" s="644"/>
      <c r="BJ17" s="645"/>
      <c r="BK17" s="645"/>
      <c r="BL17" s="646"/>
    </row>
    <row r="18" spans="1:66" ht="45" customHeight="1">
      <c r="A18" s="620" t="str">
        <f>BFTC!B9</f>
        <v>KASKİ-05</v>
      </c>
      <c r="B18" s="621"/>
      <c r="C18" s="621"/>
      <c r="D18" s="622"/>
      <c r="E18" s="623" t="str">
        <f>BFTC!C9</f>
        <v>Su Kapama veya Su Açma</v>
      </c>
      <c r="F18" s="624"/>
      <c r="G18" s="624"/>
      <c r="H18" s="624"/>
      <c r="I18" s="624"/>
      <c r="J18" s="624"/>
      <c r="K18" s="624"/>
      <c r="L18" s="624"/>
      <c r="M18" s="624"/>
      <c r="N18" s="624"/>
      <c r="O18" s="624"/>
      <c r="P18" s="624"/>
      <c r="Q18" s="624"/>
      <c r="R18" s="624"/>
      <c r="S18" s="624"/>
      <c r="T18" s="625"/>
      <c r="U18" s="626" t="str">
        <f>+BFTC!D9</f>
        <v>Adet</v>
      </c>
      <c r="V18" s="627"/>
      <c r="W18" s="615">
        <f>+BFTC!E9</f>
        <v>140000</v>
      </c>
      <c r="X18" s="615"/>
      <c r="Y18" s="615"/>
      <c r="Z18" s="615"/>
      <c r="AA18" s="615">
        <f>+BFTC!F9</f>
        <v>200</v>
      </c>
      <c r="AB18" s="615"/>
      <c r="AC18" s="615"/>
      <c r="AD18" s="615"/>
      <c r="AE18" s="628">
        <f t="shared" si="1"/>
        <v>28000000</v>
      </c>
      <c r="AF18" s="628"/>
      <c r="AG18" s="628"/>
      <c r="AH18" s="628"/>
      <c r="AI18" s="628"/>
      <c r="AJ18" s="615">
        <f>IF(+A18=0,0,HLOOKUP(A18,İcmal!$E$8:$BH$52,43,0))</f>
        <v>0</v>
      </c>
      <c r="AK18" s="615"/>
      <c r="AL18" s="615"/>
      <c r="AM18" s="615"/>
      <c r="AN18" s="629">
        <f>IF(+A18=0,0,HLOOKUP(A18,İcmal!$E$8:$BH$52,17,0))</f>
        <v>0</v>
      </c>
      <c r="AO18" s="630"/>
      <c r="AP18" s="630"/>
      <c r="AQ18" s="631"/>
      <c r="AR18" s="615">
        <f t="shared" si="2"/>
        <v>0</v>
      </c>
      <c r="AS18" s="615"/>
      <c r="AT18" s="615"/>
      <c r="AU18" s="615"/>
      <c r="AV18" s="629">
        <f t="shared" si="3"/>
        <v>0</v>
      </c>
      <c r="AW18" s="630"/>
      <c r="AX18" s="630"/>
      <c r="AY18" s="631"/>
      <c r="AZ18" s="632">
        <f t="shared" si="4"/>
        <v>0</v>
      </c>
      <c r="BA18" s="633"/>
      <c r="BB18" s="633"/>
      <c r="BC18" s="634"/>
      <c r="BD18" s="615">
        <f t="shared" si="5"/>
        <v>0</v>
      </c>
      <c r="BE18" s="615"/>
      <c r="BF18" s="615"/>
      <c r="BG18" s="615"/>
      <c r="BH18" s="615"/>
      <c r="BI18" s="615"/>
      <c r="BJ18" s="615"/>
      <c r="BK18" s="615"/>
      <c r="BL18" s="616"/>
    </row>
    <row r="19" spans="1:66" ht="45" customHeight="1">
      <c r="A19" s="620" t="str">
        <f>BFTC!B10</f>
        <v>KASKİ-06</v>
      </c>
      <c r="B19" s="621"/>
      <c r="C19" s="621"/>
      <c r="D19" s="622"/>
      <c r="E19" s="623" t="str">
        <f>BFTC!C10</f>
        <v>Sayaç Alımı (Teknik Şartnamede Özellikleri Belirtilen) DN20 190 MM</v>
      </c>
      <c r="F19" s="624"/>
      <c r="G19" s="624"/>
      <c r="H19" s="624"/>
      <c r="I19" s="624"/>
      <c r="J19" s="624"/>
      <c r="K19" s="624"/>
      <c r="L19" s="624"/>
      <c r="M19" s="624"/>
      <c r="N19" s="624"/>
      <c r="O19" s="624"/>
      <c r="P19" s="624"/>
      <c r="Q19" s="624"/>
      <c r="R19" s="624"/>
      <c r="S19" s="624"/>
      <c r="T19" s="625"/>
      <c r="U19" s="626" t="str">
        <f>+BFTC!D10</f>
        <v>Adet</v>
      </c>
      <c r="V19" s="627"/>
      <c r="W19" s="615">
        <f>+BFTC!E10</f>
        <v>15000</v>
      </c>
      <c r="X19" s="615"/>
      <c r="Y19" s="615"/>
      <c r="Z19" s="615"/>
      <c r="AA19" s="615">
        <f>+BFTC!F10</f>
        <v>1350</v>
      </c>
      <c r="AB19" s="615"/>
      <c r="AC19" s="615"/>
      <c r="AD19" s="615"/>
      <c r="AE19" s="628">
        <f t="shared" ref="AE19" si="6">AA19*W19</f>
        <v>20250000</v>
      </c>
      <c r="AF19" s="628"/>
      <c r="AG19" s="628"/>
      <c r="AH19" s="628"/>
      <c r="AI19" s="628"/>
      <c r="AJ19" s="615">
        <f>IF(+A19=0,0,HLOOKUP(A19,İcmal!$E$8:$BH$52,43,0))</f>
        <v>0</v>
      </c>
      <c r="AK19" s="615"/>
      <c r="AL19" s="615"/>
      <c r="AM19" s="615"/>
      <c r="AN19" s="629">
        <f>IF(+A19=0,0,HLOOKUP(A19,İcmal!$E$8:$BH$52,17,0))</f>
        <v>0</v>
      </c>
      <c r="AO19" s="630"/>
      <c r="AP19" s="630"/>
      <c r="AQ19" s="631"/>
      <c r="AR19" s="615">
        <f t="shared" ref="AR19" si="7">AJ19+AN19</f>
        <v>0</v>
      </c>
      <c r="AS19" s="615"/>
      <c r="AT19" s="615"/>
      <c r="AU19" s="615"/>
      <c r="AV19" s="629">
        <f t="shared" ref="AV19" si="8">AA19*AJ19</f>
        <v>0</v>
      </c>
      <c r="AW19" s="630"/>
      <c r="AX19" s="630"/>
      <c r="AY19" s="631"/>
      <c r="AZ19" s="632">
        <f t="shared" ref="AZ19" si="9">IF(AE19=0,0,(BD19/AE19))</f>
        <v>0</v>
      </c>
      <c r="BA19" s="633"/>
      <c r="BB19" s="633"/>
      <c r="BC19" s="634"/>
      <c r="BD19" s="615">
        <f t="shared" ref="BD19" si="10">AA19*AR19</f>
        <v>0</v>
      </c>
      <c r="BE19" s="615"/>
      <c r="BF19" s="615"/>
      <c r="BG19" s="615"/>
      <c r="BH19" s="615"/>
      <c r="BI19" s="615"/>
      <c r="BJ19" s="615"/>
      <c r="BK19" s="615"/>
      <c r="BL19" s="616"/>
    </row>
    <row r="20" spans="1:66" ht="40.15" customHeight="1">
      <c r="A20" s="620" t="str">
        <f>BFTC!B11</f>
        <v>KASKİ-07</v>
      </c>
      <c r="B20" s="621"/>
      <c r="C20" s="621"/>
      <c r="D20" s="622"/>
      <c r="E20" s="623" t="str">
        <f>BFTC!C11</f>
        <v>İçme Suyu Hatlarında Sayaçlı Abonesiz, Sayaçsız ve Kaçak Kullanımın Tespit Edilmesi ve Raporlanması</v>
      </c>
      <c r="F20" s="624"/>
      <c r="G20" s="624"/>
      <c r="H20" s="624"/>
      <c r="I20" s="624"/>
      <c r="J20" s="624"/>
      <c r="K20" s="624"/>
      <c r="L20" s="624"/>
      <c r="M20" s="624"/>
      <c r="N20" s="624"/>
      <c r="O20" s="624"/>
      <c r="P20" s="624"/>
      <c r="Q20" s="624"/>
      <c r="R20" s="624"/>
      <c r="S20" s="624"/>
      <c r="T20" s="625"/>
      <c r="U20" s="626" t="str">
        <f>+BFTC!D11</f>
        <v>Adet</v>
      </c>
      <c r="V20" s="627"/>
      <c r="W20" s="615">
        <f>+BFTC!E11</f>
        <v>7500</v>
      </c>
      <c r="X20" s="615"/>
      <c r="Y20" s="615"/>
      <c r="Z20" s="615"/>
      <c r="AA20" s="615">
        <f>+BFTC!F11</f>
        <v>1800</v>
      </c>
      <c r="AB20" s="615"/>
      <c r="AC20" s="615"/>
      <c r="AD20" s="615"/>
      <c r="AE20" s="628">
        <f t="shared" ref="AE20" si="11">AA20*W20</f>
        <v>13500000</v>
      </c>
      <c r="AF20" s="628"/>
      <c r="AG20" s="628"/>
      <c r="AH20" s="628"/>
      <c r="AI20" s="628"/>
      <c r="AJ20" s="615">
        <f>IF(+A20=0,0,HLOOKUP(A20,İcmal!$E$8:$BH$52,43,0))</f>
        <v>0</v>
      </c>
      <c r="AK20" s="615"/>
      <c r="AL20" s="615"/>
      <c r="AM20" s="615"/>
      <c r="AN20" s="629">
        <f>IF(+A20=0,0,HLOOKUP(A20,İcmal!$E$8:$BH$52,17,0))</f>
        <v>0</v>
      </c>
      <c r="AO20" s="630"/>
      <c r="AP20" s="630"/>
      <c r="AQ20" s="631"/>
      <c r="AR20" s="615">
        <f t="shared" ref="AR20" si="12">AJ20+AN20</f>
        <v>0</v>
      </c>
      <c r="AS20" s="615"/>
      <c r="AT20" s="615"/>
      <c r="AU20" s="615"/>
      <c r="AV20" s="629">
        <f t="shared" ref="AV20" si="13">AA20*AJ20</f>
        <v>0</v>
      </c>
      <c r="AW20" s="630"/>
      <c r="AX20" s="630"/>
      <c r="AY20" s="631"/>
      <c r="AZ20" s="632">
        <f t="shared" ref="AZ20" si="14">IF(AE20=0,0,(BD20/AE20))</f>
        <v>0</v>
      </c>
      <c r="BA20" s="633"/>
      <c r="BB20" s="633"/>
      <c r="BC20" s="634"/>
      <c r="BD20" s="615">
        <f t="shared" ref="BD20" si="15">AA20*AR20</f>
        <v>0</v>
      </c>
      <c r="BE20" s="615"/>
      <c r="BF20" s="615"/>
      <c r="BG20" s="615"/>
      <c r="BH20" s="615"/>
      <c r="BI20" s="617"/>
      <c r="BJ20" s="618"/>
      <c r="BK20" s="618"/>
      <c r="BL20" s="619"/>
    </row>
    <row r="21" spans="1:66">
      <c r="A21" s="695"/>
      <c r="B21" s="502"/>
      <c r="C21" s="502"/>
      <c r="D21" s="648"/>
      <c r="E21" s="696"/>
      <c r="F21" s="698"/>
      <c r="G21" s="698"/>
      <c r="H21" s="698"/>
      <c r="I21" s="698"/>
      <c r="J21" s="698"/>
      <c r="K21" s="698"/>
      <c r="L21" s="698"/>
      <c r="M21" s="698"/>
      <c r="N21" s="698"/>
      <c r="O21" s="698"/>
      <c r="P21" s="698"/>
      <c r="Q21" s="698"/>
      <c r="R21" s="698"/>
      <c r="S21" s="698"/>
      <c r="T21" s="697"/>
      <c r="U21" s="696"/>
      <c r="V21" s="697"/>
      <c r="W21" s="617"/>
      <c r="X21" s="618"/>
      <c r="Y21" s="618"/>
      <c r="Z21" s="694"/>
      <c r="AA21" s="691"/>
      <c r="AB21" s="692"/>
      <c r="AC21" s="692"/>
      <c r="AD21" s="693"/>
      <c r="AE21" s="617"/>
      <c r="AF21" s="618"/>
      <c r="AG21" s="618"/>
      <c r="AH21" s="618"/>
      <c r="AI21" s="694"/>
      <c r="AJ21" s="617"/>
      <c r="AK21" s="618"/>
      <c r="AL21" s="618"/>
      <c r="AM21" s="694"/>
      <c r="AN21" s="617"/>
      <c r="AO21" s="618"/>
      <c r="AP21" s="618"/>
      <c r="AQ21" s="694"/>
      <c r="AR21" s="691" t="s">
        <v>153</v>
      </c>
      <c r="AS21" s="692"/>
      <c r="AT21" s="692"/>
      <c r="AU21" s="693"/>
      <c r="AV21" s="691">
        <f>SUM(AV14:AY20)</f>
        <v>0</v>
      </c>
      <c r="AW21" s="692"/>
      <c r="AX21" s="692"/>
      <c r="AY21" s="693"/>
      <c r="AZ21" s="691" t="s">
        <v>154</v>
      </c>
      <c r="BA21" s="692"/>
      <c r="BB21" s="692"/>
      <c r="BC21" s="693"/>
      <c r="BD21" s="691">
        <f>SUM(BD14:BH20)</f>
        <v>0</v>
      </c>
      <c r="BE21" s="692"/>
      <c r="BF21" s="692"/>
      <c r="BG21" s="692"/>
      <c r="BH21" s="693"/>
      <c r="BI21" s="617"/>
      <c r="BJ21" s="618"/>
      <c r="BK21" s="618"/>
      <c r="BL21" s="619"/>
      <c r="BN21" s="40"/>
    </row>
    <row r="22" spans="1:66">
      <c r="A22" s="688"/>
      <c r="B22" s="689"/>
      <c r="C22" s="689"/>
      <c r="D22" s="689"/>
      <c r="E22" s="689"/>
      <c r="F22" s="689"/>
      <c r="G22" s="689"/>
      <c r="H22" s="689"/>
      <c r="I22" s="689"/>
      <c r="J22" s="689"/>
      <c r="K22" s="689"/>
      <c r="L22" s="689"/>
      <c r="M22" s="689"/>
      <c r="N22" s="689"/>
      <c r="O22" s="689"/>
      <c r="P22" s="689"/>
      <c r="Q22" s="689"/>
      <c r="R22" s="689"/>
      <c r="S22" s="689"/>
      <c r="T22" s="689"/>
      <c r="U22" s="689"/>
      <c r="V22" s="689"/>
      <c r="W22" s="689"/>
      <c r="X22" s="689"/>
      <c r="Y22" s="689"/>
      <c r="Z22" s="689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90"/>
    </row>
    <row r="23" spans="1:66" ht="15.75">
      <c r="A23" s="714" t="s">
        <v>169</v>
      </c>
      <c r="B23" s="715"/>
      <c r="C23" s="715"/>
      <c r="D23" s="715"/>
      <c r="E23" s="715"/>
      <c r="F23" s="715"/>
      <c r="G23" s="715"/>
      <c r="H23" s="715"/>
      <c r="I23" s="715"/>
      <c r="J23" s="715"/>
      <c r="K23" s="715"/>
      <c r="L23" s="715"/>
      <c r="M23" s="715"/>
      <c r="N23" s="715"/>
      <c r="O23" s="715"/>
      <c r="P23" s="715"/>
      <c r="Q23" s="715"/>
      <c r="R23" s="715"/>
      <c r="S23" s="715"/>
      <c r="T23" s="715"/>
      <c r="U23" s="715" t="s">
        <v>102</v>
      </c>
      <c r="V23" s="715"/>
      <c r="W23" s="715"/>
      <c r="X23" s="715"/>
      <c r="Y23" s="715"/>
      <c r="Z23" s="715"/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 t="s">
        <v>13</v>
      </c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6"/>
    </row>
    <row r="24" spans="1:66" ht="14.45" customHeight="1">
      <c r="A24" s="105"/>
      <c r="B24" s="717">
        <f>Bilgiler!D14</f>
        <v>0</v>
      </c>
      <c r="C24" s="717"/>
      <c r="D24" s="717"/>
      <c r="E24" s="717"/>
      <c r="F24" s="717"/>
      <c r="G24" s="717"/>
      <c r="H24" s="717"/>
      <c r="I24" s="717"/>
      <c r="J24" s="717"/>
      <c r="K24" s="717"/>
      <c r="L24" s="717"/>
      <c r="M24" s="717"/>
      <c r="N24" s="717"/>
      <c r="O24" s="717"/>
      <c r="P24" s="717"/>
      <c r="Q24" s="717"/>
      <c r="R24" s="717"/>
      <c r="S24" s="717"/>
      <c r="T24" s="718"/>
      <c r="U24" s="719"/>
      <c r="V24" s="720"/>
      <c r="W24" s="720"/>
      <c r="X24" s="720"/>
      <c r="Y24" s="720"/>
      <c r="Z24" s="720"/>
      <c r="AA24" s="720"/>
      <c r="AB24" s="720"/>
      <c r="AC24" s="720"/>
      <c r="AD24" s="720"/>
      <c r="AE24" s="720"/>
      <c r="AF24" s="720"/>
      <c r="AG24" s="720"/>
      <c r="AH24" s="720"/>
      <c r="AI24" s="720"/>
      <c r="AJ24" s="720"/>
      <c r="AK24" s="720"/>
      <c r="AL24" s="720"/>
      <c r="AM24" s="720"/>
      <c r="AN24" s="720"/>
      <c r="AO24" s="720"/>
      <c r="AP24" s="720"/>
      <c r="AQ24" s="720"/>
      <c r="AR24" s="721"/>
      <c r="AS24" s="699">
        <f>Bilgiler!D3</f>
        <v>0</v>
      </c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1"/>
    </row>
    <row r="25" spans="1:66" ht="14.45" customHeight="1">
      <c r="A25" s="106"/>
      <c r="B25" s="104"/>
      <c r="C25" s="709">
        <f>Bilgiler!D15</f>
        <v>0</v>
      </c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  <c r="S25" s="709"/>
      <c r="T25" s="710"/>
      <c r="U25" s="722"/>
      <c r="V25" s="723"/>
      <c r="W25" s="723"/>
      <c r="X25" s="723"/>
      <c r="Y25" s="723"/>
      <c r="Z25" s="723"/>
      <c r="AA25" s="723"/>
      <c r="AB25" s="723"/>
      <c r="AC25" s="723"/>
      <c r="AD25" s="723"/>
      <c r="AE25" s="723"/>
      <c r="AF25" s="723"/>
      <c r="AG25" s="723"/>
      <c r="AH25" s="723"/>
      <c r="AI25" s="723"/>
      <c r="AJ25" s="723"/>
      <c r="AK25" s="723"/>
      <c r="AL25" s="723"/>
      <c r="AM25" s="723"/>
      <c r="AN25" s="723"/>
      <c r="AO25" s="723"/>
      <c r="AP25" s="723"/>
      <c r="AQ25" s="723"/>
      <c r="AR25" s="724"/>
      <c r="AS25" s="702"/>
      <c r="AT25" s="703"/>
      <c r="AU25" s="703"/>
      <c r="AV25" s="703"/>
      <c r="AW25" s="703"/>
      <c r="AX25" s="703"/>
      <c r="AY25" s="703"/>
      <c r="AZ25" s="703"/>
      <c r="BA25" s="703"/>
      <c r="BB25" s="703"/>
      <c r="BC25" s="703"/>
      <c r="BD25" s="703"/>
      <c r="BE25" s="703"/>
      <c r="BF25" s="703"/>
      <c r="BG25" s="703"/>
      <c r="BH25" s="703"/>
      <c r="BI25" s="703"/>
      <c r="BJ25" s="703"/>
      <c r="BK25" s="703"/>
      <c r="BL25" s="704"/>
    </row>
    <row r="26" spans="1:66" ht="14.45" customHeight="1">
      <c r="A26" s="106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99"/>
      <c r="U26" s="722"/>
      <c r="V26" s="723"/>
      <c r="W26" s="723"/>
      <c r="X26" s="723"/>
      <c r="Y26" s="723"/>
      <c r="Z26" s="723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4"/>
      <c r="AS26" s="702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4"/>
    </row>
    <row r="27" spans="1:66" ht="14.45" customHeight="1">
      <c r="A27" s="105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0"/>
      <c r="U27" s="708"/>
      <c r="V27" s="709"/>
      <c r="W27" s="709"/>
      <c r="X27" s="709"/>
      <c r="Y27" s="709"/>
      <c r="Z27" s="709"/>
      <c r="AA27" s="709"/>
      <c r="AB27" s="709"/>
      <c r="AC27" s="709"/>
      <c r="AD27" s="709"/>
      <c r="AE27" s="709"/>
      <c r="AF27" s="709"/>
      <c r="AG27" s="709"/>
      <c r="AH27" s="709"/>
      <c r="AI27" s="709"/>
      <c r="AJ27" s="709"/>
      <c r="AK27" s="709"/>
      <c r="AL27" s="709"/>
      <c r="AM27" s="709"/>
      <c r="AN27" s="709"/>
      <c r="AO27" s="709"/>
      <c r="AP27" s="709"/>
      <c r="AQ27" s="709"/>
      <c r="AR27" s="710"/>
      <c r="AS27" s="702"/>
      <c r="AT27" s="703"/>
      <c r="AU27" s="703"/>
      <c r="AV27" s="703"/>
      <c r="AW27" s="703"/>
      <c r="AX27" s="703"/>
      <c r="AY27" s="703"/>
      <c r="AZ27" s="703"/>
      <c r="BA27" s="703"/>
      <c r="BB27" s="703"/>
      <c r="BC27" s="703"/>
      <c r="BD27" s="703"/>
      <c r="BE27" s="703"/>
      <c r="BF27" s="703"/>
      <c r="BG27" s="703"/>
      <c r="BH27" s="703"/>
      <c r="BI27" s="703"/>
      <c r="BJ27" s="703"/>
      <c r="BK27" s="703"/>
      <c r="BL27" s="704"/>
    </row>
    <row r="28" spans="1:66" ht="14.45" customHeight="1">
      <c r="A28" s="107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0"/>
      <c r="U28" s="708"/>
      <c r="V28" s="709"/>
      <c r="W28" s="709"/>
      <c r="X28" s="709"/>
      <c r="Y28" s="709"/>
      <c r="Z28" s="709"/>
      <c r="AA28" s="709"/>
      <c r="AB28" s="709"/>
      <c r="AC28" s="709"/>
      <c r="AD28" s="709"/>
      <c r="AE28" s="709"/>
      <c r="AF28" s="709"/>
      <c r="AG28" s="709"/>
      <c r="AH28" s="709"/>
      <c r="AI28" s="709"/>
      <c r="AJ28" s="709"/>
      <c r="AK28" s="709"/>
      <c r="AL28" s="709"/>
      <c r="AM28" s="709"/>
      <c r="AN28" s="709"/>
      <c r="AO28" s="709"/>
      <c r="AP28" s="709"/>
      <c r="AQ28" s="709"/>
      <c r="AR28" s="710"/>
      <c r="AS28" s="702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4"/>
    </row>
    <row r="29" spans="1:66" ht="15" customHeight="1" thickBot="1">
      <c r="A29" s="108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2"/>
      <c r="U29" s="711"/>
      <c r="V29" s="712"/>
      <c r="W29" s="712"/>
      <c r="X29" s="712"/>
      <c r="Y29" s="712"/>
      <c r="Z29" s="712"/>
      <c r="AA29" s="712"/>
      <c r="AB29" s="712"/>
      <c r="AC29" s="712"/>
      <c r="AD29" s="712"/>
      <c r="AE29" s="712"/>
      <c r="AF29" s="712"/>
      <c r="AG29" s="712"/>
      <c r="AH29" s="712"/>
      <c r="AI29" s="712"/>
      <c r="AJ29" s="712"/>
      <c r="AK29" s="712"/>
      <c r="AL29" s="712"/>
      <c r="AM29" s="712"/>
      <c r="AN29" s="712"/>
      <c r="AO29" s="712"/>
      <c r="AP29" s="712"/>
      <c r="AQ29" s="712"/>
      <c r="AR29" s="713"/>
      <c r="AS29" s="705"/>
      <c r="AT29" s="706"/>
      <c r="AU29" s="706"/>
      <c r="AV29" s="706"/>
      <c r="AW29" s="706"/>
      <c r="AX29" s="706"/>
      <c r="AY29" s="706"/>
      <c r="AZ29" s="706"/>
      <c r="BA29" s="706"/>
      <c r="BB29" s="706"/>
      <c r="BC29" s="706"/>
      <c r="BD29" s="706"/>
      <c r="BE29" s="706"/>
      <c r="BF29" s="706"/>
      <c r="BG29" s="706"/>
      <c r="BH29" s="706"/>
      <c r="BI29" s="706"/>
      <c r="BJ29" s="706"/>
      <c r="BK29" s="706"/>
      <c r="BL29" s="707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K20" sqref="K20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2"/>
      <c r="B2" s="113"/>
      <c r="C2" s="776">
        <f>Bilgiler!D1</f>
        <v>0</v>
      </c>
      <c r="D2" s="776"/>
      <c r="E2" s="776"/>
      <c r="F2" s="776"/>
      <c r="G2" s="776"/>
      <c r="H2" s="776"/>
      <c r="I2" s="777"/>
    </row>
    <row r="3" spans="1:18" ht="21.75" customHeight="1">
      <c r="A3" s="112" t="s">
        <v>192</v>
      </c>
      <c r="B3" s="113"/>
      <c r="C3" s="776"/>
      <c r="D3" s="776"/>
      <c r="E3" s="776"/>
      <c r="F3" s="776"/>
      <c r="G3" s="776"/>
      <c r="H3" s="776"/>
      <c r="I3" s="777"/>
    </row>
    <row r="4" spans="1:18" s="116" customFormat="1" ht="30" customHeight="1">
      <c r="A4" s="114" t="s">
        <v>193</v>
      </c>
      <c r="B4" s="115"/>
      <c r="C4" s="776" t="s">
        <v>194</v>
      </c>
      <c r="D4" s="776"/>
      <c r="E4" s="776"/>
      <c r="F4" s="776"/>
      <c r="G4" s="776"/>
      <c r="H4" s="776"/>
      <c r="I4" s="777"/>
      <c r="Q4"/>
      <c r="R4"/>
    </row>
    <row r="5" spans="1:18">
      <c r="A5" s="22"/>
      <c r="I5" s="19"/>
    </row>
    <row r="6" spans="1:18" ht="18" customHeight="1">
      <c r="A6" s="778">
        <f>Bilgiler!D2</f>
        <v>0</v>
      </c>
      <c r="B6" s="779"/>
      <c r="C6" s="779"/>
      <c r="D6" s="779"/>
      <c r="E6" s="779"/>
      <c r="F6" s="779"/>
      <c r="G6" s="779"/>
      <c r="H6" s="2" t="s">
        <v>8</v>
      </c>
      <c r="I6" s="119">
        <f>Bilgiler!D12</f>
        <v>0</v>
      </c>
    </row>
    <row r="7" spans="1:18" ht="18" customHeight="1">
      <c r="A7" s="778"/>
      <c r="B7" s="779"/>
      <c r="C7" s="779"/>
      <c r="D7" s="779"/>
      <c r="E7" s="779"/>
      <c r="F7" s="779"/>
      <c r="G7" s="779"/>
      <c r="H7" s="2" t="s">
        <v>18</v>
      </c>
      <c r="I7" s="119">
        <v>1</v>
      </c>
      <c r="L7" s="148" t="s">
        <v>217</v>
      </c>
      <c r="M7" s="148"/>
      <c r="N7" s="148" t="s">
        <v>223</v>
      </c>
      <c r="O7" s="148" t="s">
        <v>236</v>
      </c>
      <c r="P7" s="149" t="str">
        <f>Bilgiler!D26&amp;" "&amp;Bilgiler!D25</f>
        <v xml:space="preserve"> </v>
      </c>
      <c r="Q7" s="147" t="s">
        <v>218</v>
      </c>
      <c r="R7" s="148" t="s">
        <v>231</v>
      </c>
    </row>
    <row r="8" spans="1:18" ht="17.25" customHeight="1">
      <c r="A8" s="117"/>
      <c r="B8" s="118"/>
      <c r="C8" s="118"/>
      <c r="D8" s="118"/>
      <c r="E8" s="118"/>
      <c r="F8" s="118"/>
      <c r="G8" s="118"/>
      <c r="H8" s="2"/>
      <c r="I8" s="31"/>
      <c r="L8" s="134" t="s">
        <v>222</v>
      </c>
      <c r="M8" s="140" t="s">
        <v>232</v>
      </c>
      <c r="N8" s="128">
        <v>0.28000000000000003</v>
      </c>
      <c r="O8" s="135">
        <v>26005.5</v>
      </c>
      <c r="P8" s="153">
        <f>Bilgiler!A32</f>
        <v>0</v>
      </c>
      <c r="Q8" s="152">
        <f>P8/O8</f>
        <v>0</v>
      </c>
      <c r="R8" s="150">
        <f>(0*N8*Q8)+N8</f>
        <v>0.28000000000000003</v>
      </c>
    </row>
    <row r="9" spans="1:18" ht="23.25" customHeight="1">
      <c r="A9" s="410" t="s">
        <v>195</v>
      </c>
      <c r="B9" s="347"/>
      <c r="C9" s="347"/>
      <c r="D9" s="347" t="s">
        <v>196</v>
      </c>
      <c r="E9" s="347"/>
      <c r="F9" s="347"/>
      <c r="G9" s="347" t="s">
        <v>197</v>
      </c>
      <c r="H9" s="347"/>
      <c r="I9" s="411"/>
      <c r="L9" s="134" t="s">
        <v>219</v>
      </c>
      <c r="M9" s="140" t="s">
        <v>233</v>
      </c>
      <c r="N9" s="128">
        <v>0.22</v>
      </c>
      <c r="O9" s="145">
        <v>54.13308</v>
      </c>
      <c r="P9" s="153">
        <f>Bilgiler!C32</f>
        <v>0</v>
      </c>
      <c r="Q9" s="152">
        <f>P9/O9</f>
        <v>0</v>
      </c>
      <c r="R9" s="150">
        <f>N9*Q9</f>
        <v>0</v>
      </c>
    </row>
    <row r="10" spans="1:18" ht="22.5" customHeight="1">
      <c r="A10" s="780" t="s">
        <v>198</v>
      </c>
      <c r="B10" s="247"/>
      <c r="C10" s="247"/>
      <c r="D10" s="247" t="s">
        <v>199</v>
      </c>
      <c r="E10" s="247"/>
      <c r="F10" s="247"/>
      <c r="G10" s="247" t="s">
        <v>200</v>
      </c>
      <c r="H10" s="247"/>
      <c r="I10" s="581"/>
      <c r="L10" s="134" t="s">
        <v>220</v>
      </c>
      <c r="M10" s="140" t="s">
        <v>234</v>
      </c>
      <c r="N10" s="128">
        <v>0.25</v>
      </c>
      <c r="O10" s="154">
        <v>4632.8900000000003</v>
      </c>
      <c r="P10" s="153">
        <f>Bilgiler!E32</f>
        <v>0</v>
      </c>
      <c r="Q10" s="152">
        <f>P10/O10</f>
        <v>0</v>
      </c>
      <c r="R10" s="150">
        <f>N10*Q10</f>
        <v>0</v>
      </c>
    </row>
    <row r="11" spans="1:18" ht="30" customHeight="1">
      <c r="A11" s="781">
        <f>Çarşaf!AV21</f>
        <v>0</v>
      </c>
      <c r="B11" s="246"/>
      <c r="C11" s="246"/>
      <c r="D11" s="247"/>
      <c r="E11" s="247"/>
      <c r="F11" s="247"/>
      <c r="G11" s="246">
        <f>A11-D11</f>
        <v>0</v>
      </c>
      <c r="H11" s="246"/>
      <c r="I11" s="782"/>
      <c r="L11" s="134" t="s">
        <v>221</v>
      </c>
      <c r="M11" s="140" t="s">
        <v>235</v>
      </c>
      <c r="N11" s="128">
        <v>0.25</v>
      </c>
      <c r="O11" s="154">
        <v>3319.76</v>
      </c>
      <c r="P11" s="153">
        <f>Bilgiler!G32</f>
        <v>0</v>
      </c>
      <c r="Q11" s="152">
        <f>P11/O11</f>
        <v>0</v>
      </c>
      <c r="R11" s="150">
        <f>N11*Q11</f>
        <v>0</v>
      </c>
    </row>
    <row r="12" spans="1:18">
      <c r="A12" s="727" t="s">
        <v>229</v>
      </c>
      <c r="B12" s="728"/>
      <c r="C12" s="728"/>
      <c r="D12" s="728"/>
      <c r="E12" s="731">
        <f>Bilgiler!D25</f>
        <v>0</v>
      </c>
      <c r="F12" s="732">
        <f>Bilgiler!D26</f>
        <v>0</v>
      </c>
      <c r="G12" s="733"/>
      <c r="H12" s="733"/>
      <c r="I12" s="734"/>
      <c r="R12" s="141"/>
    </row>
    <row r="13" spans="1:18">
      <c r="A13" s="729"/>
      <c r="B13" s="730"/>
      <c r="C13" s="730"/>
      <c r="D13" s="730"/>
      <c r="E13" s="551"/>
      <c r="F13" s="551"/>
      <c r="G13" s="551"/>
      <c r="H13" s="551"/>
      <c r="I13" s="435"/>
      <c r="R13" s="141"/>
    </row>
    <row r="14" spans="1:18" ht="23.25" customHeight="1">
      <c r="A14" s="735" t="s">
        <v>201</v>
      </c>
      <c r="B14" s="736"/>
      <c r="C14" s="736"/>
      <c r="D14" s="736"/>
      <c r="E14" s="736"/>
      <c r="F14" s="736"/>
      <c r="G14" s="736"/>
      <c r="H14" s="736"/>
      <c r="I14" s="737"/>
      <c r="L14" s="369" t="s">
        <v>224</v>
      </c>
      <c r="M14" s="142"/>
      <c r="N14" s="347" t="s">
        <v>226</v>
      </c>
      <c r="O14" s="34"/>
      <c r="P14" s="725" t="s">
        <v>211</v>
      </c>
      <c r="Q14" s="725"/>
      <c r="R14" s="150">
        <f>SUM(R8:R11)</f>
        <v>0.28000000000000003</v>
      </c>
    </row>
    <row r="15" spans="1:18" ht="23.25" customHeight="1">
      <c r="A15" s="735" t="s">
        <v>202</v>
      </c>
      <c r="B15" s="736"/>
      <c r="C15" s="736"/>
      <c r="D15" s="736"/>
      <c r="E15" s="736"/>
      <c r="F15" s="736"/>
      <c r="G15" s="736"/>
      <c r="H15" s="736"/>
      <c r="I15" s="737"/>
      <c r="L15" s="369"/>
      <c r="M15" s="142"/>
      <c r="N15" s="347"/>
      <c r="O15" s="34"/>
      <c r="P15" s="725" t="s">
        <v>227</v>
      </c>
      <c r="Q15" s="725"/>
      <c r="R15" s="151">
        <f>N16*(R14-1)</f>
        <v>-0.64800000000000002</v>
      </c>
    </row>
    <row r="16" spans="1:18" ht="23.25" customHeight="1">
      <c r="A16" s="735" t="s">
        <v>203</v>
      </c>
      <c r="B16" s="736"/>
      <c r="C16" s="736"/>
      <c r="D16" s="736"/>
      <c r="E16" s="736"/>
      <c r="F16" s="736"/>
      <c r="G16" s="736"/>
      <c r="H16" s="736"/>
      <c r="I16" s="737"/>
      <c r="L16" s="246">
        <f>A11</f>
        <v>0</v>
      </c>
      <c r="M16" s="139"/>
      <c r="N16" s="247">
        <v>0.9</v>
      </c>
      <c r="O16" s="34"/>
      <c r="P16" s="725"/>
      <c r="Q16" s="725"/>
      <c r="R16" s="143"/>
    </row>
    <row r="17" spans="1:18" ht="23.25" customHeight="1">
      <c r="A17" s="735" t="s">
        <v>204</v>
      </c>
      <c r="B17" s="736"/>
      <c r="C17" s="736"/>
      <c r="D17" s="736"/>
      <c r="E17" s="736"/>
      <c r="F17" s="736"/>
      <c r="G17" s="736"/>
      <c r="H17" s="736"/>
      <c r="I17" s="737"/>
      <c r="L17" s="247"/>
      <c r="M17" s="122"/>
      <c r="N17" s="247"/>
      <c r="O17" s="34"/>
      <c r="P17" s="726" t="s">
        <v>228</v>
      </c>
      <c r="Q17" s="726"/>
      <c r="R17" s="136">
        <f>L16*R15</f>
        <v>0</v>
      </c>
    </row>
    <row r="18" spans="1:18" ht="23.25" customHeight="1">
      <c r="A18" s="756"/>
      <c r="B18" s="757"/>
      <c r="C18" s="757"/>
      <c r="D18" s="757"/>
      <c r="E18" s="757"/>
      <c r="F18" s="757"/>
      <c r="G18" s="757"/>
      <c r="H18" s="757"/>
      <c r="I18" s="758"/>
    </row>
    <row r="19" spans="1:18">
      <c r="A19" s="756"/>
      <c r="B19" s="757"/>
      <c r="C19" s="757"/>
      <c r="D19" s="757"/>
      <c r="E19" s="757"/>
      <c r="F19" s="757"/>
      <c r="G19" s="757"/>
      <c r="H19" s="757"/>
      <c r="I19" s="758"/>
    </row>
    <row r="20" spans="1:18" ht="22.5" customHeight="1">
      <c r="A20" s="120" t="s">
        <v>205</v>
      </c>
      <c r="B20" s="34"/>
      <c r="C20" s="34"/>
      <c r="D20" s="34">
        <v>2025</v>
      </c>
      <c r="E20" s="34" t="s">
        <v>225</v>
      </c>
      <c r="F20" s="123" t="s">
        <v>206</v>
      </c>
      <c r="G20" s="122">
        <f>O10</f>
        <v>4632.8900000000003</v>
      </c>
      <c r="H20" s="34" t="s">
        <v>207</v>
      </c>
      <c r="I20" s="121"/>
    </row>
    <row r="21" spans="1:18" ht="22.5" customHeight="1">
      <c r="A21" s="120" t="s">
        <v>208</v>
      </c>
      <c r="B21" s="34"/>
      <c r="C21" s="34"/>
      <c r="D21" s="123">
        <f>Bilgiler!D25</f>
        <v>0</v>
      </c>
      <c r="E21" s="129">
        <f>Bilgiler!D26</f>
        <v>0</v>
      </c>
      <c r="F21" s="123" t="s">
        <v>206</v>
      </c>
      <c r="G21" s="122">
        <f>P10</f>
        <v>0</v>
      </c>
      <c r="H21" s="34" t="s">
        <v>207</v>
      </c>
      <c r="I21" s="121"/>
    </row>
    <row r="22" spans="1:18" ht="8.25" customHeight="1">
      <c r="A22" s="52"/>
      <c r="B22" s="124"/>
      <c r="C22" s="124"/>
      <c r="D22" s="124"/>
      <c r="E22" s="124"/>
      <c r="F22" s="124"/>
      <c r="G22" s="124"/>
      <c r="H22" s="124"/>
      <c r="I22" s="125"/>
    </row>
    <row r="23" spans="1:18" ht="21.75" customHeight="1">
      <c r="A23" s="727" t="s">
        <v>216</v>
      </c>
      <c r="B23" s="728"/>
      <c r="C23" s="728"/>
      <c r="D23" s="132">
        <f>Bilgiler!D25</f>
        <v>0</v>
      </c>
      <c r="E23" s="133">
        <f>Bilgiler!D26</f>
        <v>0</v>
      </c>
      <c r="F23" s="130"/>
      <c r="G23" s="130"/>
      <c r="H23" s="130"/>
      <c r="I23" s="131"/>
    </row>
    <row r="24" spans="1:18">
      <c r="A24" s="126" t="s">
        <v>209</v>
      </c>
      <c r="B24" s="74" t="s">
        <v>210</v>
      </c>
      <c r="C24" s="403">
        <f>G11</f>
        <v>0</v>
      </c>
      <c r="D24" s="403"/>
      <c r="E24" s="403"/>
      <c r="F24" s="403"/>
      <c r="G24" s="403"/>
      <c r="H24" s="403"/>
      <c r="I24" s="404"/>
    </row>
    <row r="25" spans="1:18">
      <c r="A25" s="126" t="s">
        <v>199</v>
      </c>
      <c r="B25" s="74" t="s">
        <v>210</v>
      </c>
      <c r="C25" s="773">
        <v>0.9</v>
      </c>
      <c r="D25" s="773"/>
      <c r="E25" s="773"/>
      <c r="F25" s="773"/>
      <c r="G25" s="773"/>
      <c r="H25" s="773"/>
      <c r="I25" s="774"/>
    </row>
    <row r="26" spans="1:18">
      <c r="A26" s="126" t="s">
        <v>211</v>
      </c>
      <c r="B26" s="74" t="s">
        <v>210</v>
      </c>
      <c r="C26" s="759">
        <f>(N8+(0*(P8/O8)))+(N9*(P9/O9))+(N10*(P10/O10))+(N11*(P11/O11))</f>
        <v>0.28000000000000003</v>
      </c>
      <c r="D26" s="759"/>
      <c r="E26" s="759"/>
      <c r="F26" s="759"/>
      <c r="G26" s="759"/>
      <c r="H26" s="759"/>
      <c r="I26" s="760"/>
    </row>
    <row r="27" spans="1:18">
      <c r="A27" s="127" t="s">
        <v>212</v>
      </c>
      <c r="B27" s="74" t="s">
        <v>210</v>
      </c>
      <c r="C27" s="759">
        <f>C25*(C26-1)</f>
        <v>-0.64800000000000002</v>
      </c>
      <c r="D27" s="759"/>
      <c r="E27" s="759"/>
      <c r="F27" s="759"/>
      <c r="G27" s="759"/>
      <c r="H27" s="759"/>
      <c r="I27" s="760"/>
    </row>
    <row r="28" spans="1:18">
      <c r="A28" s="126" t="s">
        <v>213</v>
      </c>
      <c r="B28" s="74" t="s">
        <v>210</v>
      </c>
      <c r="C28" s="403">
        <f>C24*C27</f>
        <v>0</v>
      </c>
      <c r="D28" s="403"/>
      <c r="E28" s="403"/>
      <c r="F28" s="403"/>
      <c r="G28" s="403"/>
      <c r="H28" s="403"/>
      <c r="I28" s="404"/>
    </row>
    <row r="29" spans="1:18">
      <c r="A29" s="22"/>
      <c r="I29" s="19"/>
    </row>
    <row r="30" spans="1:18" ht="30" customHeight="1">
      <c r="A30" s="137">
        <f>Bilgiler!D25</f>
        <v>0</v>
      </c>
      <c r="B30" s="138">
        <f>Bilgiler!D26</f>
        <v>0</v>
      </c>
      <c r="C30" s="775" t="s">
        <v>230</v>
      </c>
      <c r="D30" s="775"/>
      <c r="E30" s="775"/>
      <c r="F30" s="761">
        <f>C28</f>
        <v>0</v>
      </c>
      <c r="G30" s="761"/>
      <c r="H30" s="761"/>
      <c r="I30" s="762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63" t="s">
        <v>13</v>
      </c>
      <c r="B34" s="764"/>
      <c r="C34" s="764"/>
      <c r="D34" s="764"/>
      <c r="E34" s="765"/>
      <c r="F34" s="769" t="str">
        <f>Çarşaf!A23</f>
        <v>KONTROL</v>
      </c>
      <c r="G34" s="764"/>
      <c r="H34" s="764"/>
      <c r="I34" s="770"/>
    </row>
    <row r="35" spans="1:9" ht="15" customHeight="1">
      <c r="A35" s="766"/>
      <c r="B35" s="767"/>
      <c r="C35" s="767"/>
      <c r="D35" s="767"/>
      <c r="E35" s="768"/>
      <c r="F35" s="771"/>
      <c r="G35" s="767"/>
      <c r="H35" s="767"/>
      <c r="I35" s="772"/>
    </row>
    <row r="36" spans="1:9" ht="15" customHeight="1">
      <c r="A36" s="738">
        <f>Bilgiler!D3</f>
        <v>0</v>
      </c>
      <c r="B36" s="739"/>
      <c r="C36" s="739"/>
      <c r="D36" s="739"/>
      <c r="E36" s="740"/>
      <c r="F36" s="744"/>
      <c r="G36" s="745"/>
      <c r="H36" s="745"/>
      <c r="I36" s="746"/>
    </row>
    <row r="37" spans="1:9" ht="15" customHeight="1">
      <c r="A37" s="738"/>
      <c r="B37" s="739"/>
      <c r="C37" s="739"/>
      <c r="D37" s="739"/>
      <c r="E37" s="740"/>
      <c r="F37" s="747"/>
      <c r="G37" s="748"/>
      <c r="H37" s="748"/>
      <c r="I37" s="749"/>
    </row>
    <row r="38" spans="1:9" ht="15" customHeight="1">
      <c r="A38" s="738"/>
      <c r="B38" s="739"/>
      <c r="C38" s="739"/>
      <c r="D38" s="739"/>
      <c r="E38" s="740"/>
      <c r="F38" s="747"/>
      <c r="G38" s="748"/>
      <c r="H38" s="748"/>
      <c r="I38" s="749"/>
    </row>
    <row r="39" spans="1:9" ht="15" customHeight="1">
      <c r="A39" s="738"/>
      <c r="B39" s="739"/>
      <c r="C39" s="739"/>
      <c r="D39" s="739"/>
      <c r="E39" s="740"/>
      <c r="F39" s="750"/>
      <c r="G39" s="751"/>
      <c r="H39" s="751"/>
      <c r="I39" s="752"/>
    </row>
    <row r="40" spans="1:9" ht="15" customHeight="1">
      <c r="A40" s="738"/>
      <c r="B40" s="739"/>
      <c r="C40" s="739"/>
      <c r="D40" s="739"/>
      <c r="E40" s="740"/>
      <c r="F40" s="750"/>
      <c r="G40" s="751"/>
      <c r="H40" s="751"/>
      <c r="I40" s="752"/>
    </row>
    <row r="41" spans="1:9" ht="15.75" customHeight="1" thickBot="1">
      <c r="A41" s="741"/>
      <c r="B41" s="742"/>
      <c r="C41" s="742"/>
      <c r="D41" s="742"/>
      <c r="E41" s="743"/>
      <c r="F41" s="753"/>
      <c r="G41" s="754"/>
      <c r="H41" s="754"/>
      <c r="I41" s="755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2026-03-09T12:02:25Z</dcterms:modified>
</cp:coreProperties>
</file>