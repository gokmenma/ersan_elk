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Belgelerim\Kaski 2026\iş\Hakediş\4\"/>
    </mc:Choice>
  </mc:AlternateContent>
  <xr:revisionPtr revIDLastSave="0" documentId="13_ncr:1_{49537BBF-8537-4964-8615-9C16CBFA61EE}" xr6:coauthVersionLast="47" xr6:coauthVersionMax="47" xr10:uidLastSave="{00000000-0000-0000-0000-000000000000}"/>
  <bookViews>
    <workbookView xWindow="-108" yWindow="-108" windowWidth="30936" windowHeight="16776" tabRatio="918" xr2:uid="{00000000-000D-0000-FFFF-FFFF00000000}"/>
  </bookViews>
  <sheets>
    <sheet name="Bilgiler" sheetId="1" r:id="rId1"/>
    <sheet name="İcmal" sheetId="16" r:id="rId2"/>
    <sheet name="BFTC" sheetId="2" r:id="rId3"/>
    <sheet name="Ön Kapak" sheetId="9" r:id="rId4"/>
    <sheet name="Arka Kapak" sheetId="19" r:id="rId5"/>
    <sheet name="İş Takip-Ön Yüz" sheetId="6" r:id="rId6"/>
    <sheet name="İş Takip Arka Yüz" sheetId="7" r:id="rId7"/>
    <sheet name="Çarşaf" sheetId="17" r:id="rId8"/>
    <sheet name="Fiyat Farkı Tutanağı" sheetId="20" r:id="rId9"/>
  </sheets>
  <definedNames>
    <definedName name="_Fill" localSheetId="7" hidden="1">#REF!</definedName>
    <definedName name="_Fill" localSheetId="8" hidden="1">#REF!</definedName>
    <definedName name="_Fill" localSheetId="1" hidden="1">#REF!</definedName>
    <definedName name="_Fill" hidden="1">#REF!</definedName>
    <definedName name="_Key1" localSheetId="7" hidden="1">#REF!</definedName>
    <definedName name="_Key1" localSheetId="1" hidden="1">#REF!</definedName>
    <definedName name="_Key1" hidden="1">#REF!</definedName>
    <definedName name="_Order1" hidden="1">255</definedName>
    <definedName name="_Sort" localSheetId="7" hidden="1">#REF!</definedName>
    <definedName name="_Sort" localSheetId="8" hidden="1">#REF!</definedName>
    <definedName name="_Sort" localSheetId="1" hidden="1">#REF!</definedName>
    <definedName name="_Sort" hidden="1">#REF!</definedName>
    <definedName name="Ahmet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aky" localSheetId="8" hidden="1">{#N/A,#N/A,FALSE,"sıh_iç_ihz";#N/A,#N/A,FALSE,"sıh_iç_er";#N/A,#N/A,FALSE,"sıh_iç_tut"}</definedName>
    <definedName name="aky" hidden="1">{#N/A,#N/A,FALSE,"sıh_iç_ihz";#N/A,#N/A,FALSE,"sıh_iç_er";#N/A,#N/A,FALSE,"sıh_iç_tut"}</definedName>
    <definedName name="AS" localSheetId="8" hidden="1">{#N/A,#N/A,FALSE,"müş_iç_ihz";#N/A,#N/A,FALSE,"müş_iç_er";#N/A,#N/A,FALSE,"müş_iç_tut"}</definedName>
    <definedName name="AS" hidden="1">{#N/A,#N/A,FALSE,"müş_iç_ihz";#N/A,#N/A,FALSE,"müş_iç_er";#N/A,#N/A,FALSE,"müş_iç_tut"}</definedName>
    <definedName name="b" hidden="1">#REF!</definedName>
    <definedName name="cu" localSheetId="8" hidden="1">{#N/A,#N/A,FALSE,"kal_iç_ihz";#N/A,#N/A,FALSE,"kal_iç_er";#N/A,#N/A,FALSE,"kal_iç_tut"}</definedName>
    <definedName name="cu" hidden="1">{#N/A,#N/A,FALSE,"kal_iç_ihz";#N/A,#N/A,FALSE,"kal_iç_er";#N/A,#N/A,FALSE,"kal_iç_tut"}</definedName>
    <definedName name="çatı" localSheetId="8" hidden="1">{#N/A,#N/A,FALSE,"avans";#N/A,#N/A,FALSE,"teminat_mektubu";#N/A,#N/A,FALSE,"ihz. icmal";#N/A,#N/A,FALSE,"söz_fiy_fark";#N/A,#N/A,FALSE,"kap2";#N/A,#N/A,FALSE,"mal_FF_icm";#N/A,#N/A,FALSE,"kap1"}</definedName>
    <definedName name="çatı" hidden="1">{#N/A,#N/A,FALSE,"avans";#N/A,#N/A,FALSE,"teminat_mektubu";#N/A,#N/A,FALSE,"ihz. icmal";#N/A,#N/A,FALSE,"söz_fiy_fark";#N/A,#N/A,FALSE,"kap2";#N/A,#N/A,FALSE,"mal_FF_icm";#N/A,#N/A,FALSE,"kap1"}</definedName>
    <definedName name="çç" localSheetId="8" hidden="1">{#N/A,#N/A,FALSE,"maff_h1";#N/A,#N/A,FALSE,"maff_h2";#N/A,#N/A,FALSE,"maff_h3";#N/A,#N/A,FALSE,"maff_h4";#N/A,#N/A,FALSE,"maff_h5";#N/A,#N/A,FALSE,"maff_h6";#N/A,#N/A,FALSE,"maff_h7"}</definedName>
    <definedName name="çç" hidden="1">{#N/A,#N/A,FALSE,"maff_h1";#N/A,#N/A,FALSE,"maff_h2";#N/A,#N/A,FALSE,"maff_h3";#N/A,#N/A,FALSE,"maff_h4";#N/A,#N/A,FALSE,"maff_h5";#N/A,#N/A,FALSE,"maff_h6";#N/A,#N/A,FALSE,"maff_h7"}</definedName>
    <definedName name="DFF" localSheetId="8" hidden="1">{#N/A,#N/A,FALSE,"kal_iç_ihz";#N/A,#N/A,FALSE,"kal_iç_er";#N/A,#N/A,FALSE,"kal_iç_tut"}</definedName>
    <definedName name="DFF" hidden="1">{#N/A,#N/A,FALSE,"kal_iç_ihz";#N/A,#N/A,FALSE,"kal_iç_er";#N/A,#N/A,FALSE,"kal_iç_tut"}</definedName>
    <definedName name="du" localSheetId="8" hidden="1">{#N/A,#N/A,FALSE,"maff_h1";#N/A,#N/A,FALSE,"maff_h2";#N/A,#N/A,FALSE,"maff_h3";#N/A,#N/A,FALSE,"maff_h4";#N/A,#N/A,FALSE,"maff_h5";#N/A,#N/A,FALSE,"maff_h6";#N/A,#N/A,FALSE,"maff_h7"}</definedName>
    <definedName name="du" hidden="1">{#N/A,#N/A,FALSE,"maff_h1";#N/A,#N/A,FALSE,"maff_h2";#N/A,#N/A,FALSE,"maff_h3";#N/A,#N/A,FALSE,"maff_h4";#N/A,#N/A,FALSE,"maff_h5";#N/A,#N/A,FALSE,"maff_h6";#N/A,#N/A,FALSE,"maff_h7"}</definedName>
    <definedName name="F" localSheetId="8" hidden="1">{#N/A,#N/A,FALSE,"maff_h1";#N/A,#N/A,FALSE,"maff_h2";#N/A,#N/A,FALSE,"maff_h3";#N/A,#N/A,FALSE,"maff_h4";#N/A,#N/A,FALSE,"maff_h5";#N/A,#N/A,FALSE,"maff_h6";#N/A,#N/A,FALSE,"maff_h7"}</definedName>
    <definedName name="F" hidden="1">{#N/A,#N/A,FALSE,"maff_h1";#N/A,#N/A,FALSE,"maff_h2";#N/A,#N/A,FALSE,"maff_h3";#N/A,#N/A,FALSE,"maff_h4";#N/A,#N/A,FALSE,"maff_h5";#N/A,#N/A,FALSE,"maff_h6";#N/A,#N/A,FALSE,"maff_h7"}</definedName>
    <definedName name="FG" localSheetId="8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FG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kay" localSheetId="8" hidden="1">{#N/A,#N/A,FALSE,"kal_iç_ihz";#N/A,#N/A,FALSE,"kal_iç_er";#N/A,#N/A,FALSE,"kal_iç_tut"}</definedName>
    <definedName name="kay" hidden="1">{#N/A,#N/A,FALSE,"kal_iç_ihz";#N/A,#N/A,FALSE,"kal_iç_er";#N/A,#N/A,FALSE,"kal_iç_tut"}</definedName>
    <definedName name="kemo" localSheetId="8" hidden="1">#REF!</definedName>
    <definedName name="kemo" localSheetId="1" hidden="1">#REF!</definedName>
    <definedName name="kemo" hidden="1">#REF!</definedName>
    <definedName name="kemo1" localSheetId="1" hidden="1">#REF!</definedName>
    <definedName name="kemo1" hidden="1">#REF!</definedName>
    <definedName name="kemo2" localSheetId="1" hidden="1">#REF!</definedName>
    <definedName name="kemo2" hidden="1">#REF!</definedName>
    <definedName name="kemo3" localSheetId="1" hidden="1">#REF!</definedName>
    <definedName name="kemo3" hidden="1">#REF!</definedName>
    <definedName name="kemo4" localSheetId="1" hidden="1">#REF!</definedName>
    <definedName name="kemo4" hidden="1">#REF!</definedName>
    <definedName name="lkkkk" localSheetId="8" hidden="1">{#N/A,#N/A,FALSE,"müş_iç_ihz";#N/A,#N/A,FALSE,"müş_iç_er";#N/A,#N/A,FALSE,"müş_iç_tut"}</definedName>
    <definedName name="lkkkk" hidden="1">{#N/A,#N/A,FALSE,"müş_iç_ihz";#N/A,#N/A,FALSE,"müş_iç_er";#N/A,#N/A,FALSE,"müş_iç_tut"}</definedName>
    <definedName name="LNKJLKM" localSheetId="8" hidden="1">{#N/A,#N/A,FALSE,"kal_iç_ihz";#N/A,#N/A,FALSE,"kal_iç_er";#N/A,#N/A,FALSE,"kal_iç_tut"}</definedName>
    <definedName name="LNKJLKM" hidden="1">{#N/A,#N/A,FALSE,"kal_iç_ihz";#N/A,#N/A,FALSE,"kal_iç_er";#N/A,#N/A,FALSE,"kal_iç_tut"}</definedName>
    <definedName name="MEHMET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MEHMET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öççç" localSheetId="8" hidden="1">{#N/A,#N/A,FALSE,"kal_iç_ihz";#N/A,#N/A,FALSE,"kal_iç_er";#N/A,#N/A,FALSE,"kal_iç_tut"}</definedName>
    <definedName name="öççç" hidden="1">{#N/A,#N/A,FALSE,"kal_iç_ihz";#N/A,#N/A,FALSE,"kal_iç_er";#N/A,#N/A,FALSE,"kal_iç_tut"}</definedName>
    <definedName name="P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pc" localSheetId="8" hidden="1">{#N/A,#N/A,FALSE,"elk_iç_er";#N/A,#N/A,FALSE,"elk_iç_tut";#N/A,#N/A,FALSE,"elk_iç_ihz"}</definedName>
    <definedName name="pc" hidden="1">{#N/A,#N/A,FALSE,"elk_iç_er";#N/A,#N/A,FALSE,"elk_iç_tut";#N/A,#N/A,FALSE,"elk_iç_ihz"}</definedName>
    <definedName name="pl" localSheetId="8" hidden="1">{#N/A,#N/A,FALSE,"elk_iç_er";#N/A,#N/A,FALSE,"elk_iç_tut";#N/A,#N/A,FALSE,"elk_iç_ihz"}</definedName>
    <definedName name="pl" hidden="1">{#N/A,#N/A,FALSE,"elk_iç_er";#N/A,#N/A,FALSE,"elk_iç_tut";#N/A,#N/A,FALSE,"elk_iç_ihz"}</definedName>
    <definedName name="UYI" localSheetId="8" hidden="1">{#N/A,#N/A,FALSE,"elk_iç_er";#N/A,#N/A,FALSE,"elk_iç_tut";#N/A,#N/A,FALSE,"elk_iç_ihz"}</definedName>
    <definedName name="UYI" hidden="1">{#N/A,#N/A,FALSE,"elk_iç_er";#N/A,#N/A,FALSE,"elk_iç_tut";#N/A,#N/A,FALSE,"elk_iç_ihz"}</definedName>
    <definedName name="v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vv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BIMAL.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rn.elektrik_iç." localSheetId="8" hidden="1">{#N/A,#N/A,FALSE,"elk_iç_er";#N/A,#N/A,FALSE,"elk_iç_tut";#N/A,#N/A,FALSE,"elk_iç_ihz"}</definedName>
    <definedName name="wrn.elektrik_iç." hidden="1">{#N/A,#N/A,FALSE,"elk_iç_er";#N/A,#N/A,FALSE,"elk_iç_tut";#N/A,#N/A,FALSE,"elk_iç_ihz"}</definedName>
    <definedName name="wrn.gecici." localSheetId="8" hidden="1">{#N/A,#N/A,FALSE,"avans";#N/A,#N/A,FALSE,"teminat_mektubu";#N/A,#N/A,FALSE,"ihz. icmal";#N/A,#N/A,FALSE,"söz_fiy_fark";#N/A,#N/A,FALSE,"kap2";#N/A,#N/A,FALSE,"mal_FF_icm";#N/A,#N/A,FALSE,"kap1"}</definedName>
    <definedName name="wrn.gecici." hidden="1">{#N/A,#N/A,FALSE,"avans";#N/A,#N/A,FALSE,"teminat_mektubu";#N/A,#N/A,FALSE,"ihz. icmal";#N/A,#N/A,FALSE,"söz_fiy_fark";#N/A,#N/A,FALSE,"kap2";#N/A,#N/A,FALSE,"mal_FF_icm";#N/A,#N/A,FALSE,"kap1"}</definedName>
    <definedName name="wrn.HAK1." localSheetId="8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HAK1." hidden="1">{#N/A,#N/A,FALSE,"imalat_kesif";#N/A,#N/A,FALSE,"imalat_seviye";#N/A,#N/A,FALSE,"141";#N/A,#N/A,FALSE,"142";#N/A,#N/A,FALSE,"143";#N/A,#N/A,FALSE,"144";#N/A,#N/A,FALSE,"145";#N/A,#N/A,FALSE,"146";#N/A,#N/A,FALSE,"147";#N/A,#N/A,FALSE,"148";#N/A,#N/A,FALSE,"149"}</definedName>
    <definedName name="wrn.insaat_ic." localSheetId="8" hidden="1">{#N/A,#N/A,FALSE,"inş_iç_ihz";#N/A,#N/A,FALSE,"inş_iç_er";#N/A,#N/A,FALSE,"inş_iç_tut"}</definedName>
    <definedName name="wrn.insaat_ic." hidden="1">{#N/A,#N/A,FALSE,"inş_iç_ihz";#N/A,#N/A,FALSE,"inş_iç_er";#N/A,#N/A,FALSE,"inş_iç_tut"}</definedName>
    <definedName name="wrn.kalorifer_ic." localSheetId="8" hidden="1">{#N/A,#N/A,FALSE,"kal_iç_ihz";#N/A,#N/A,FALSE,"kal_iç_er";#N/A,#N/A,FALSE,"kal_iç_tut"}</definedName>
    <definedName name="wrn.kalorifer_ic." hidden="1">{#N/A,#N/A,FALSE,"kal_iç_ihz";#N/A,#N/A,FALSE,"kal_iç_er";#N/A,#N/A,FALSE,"kal_iç_tut"}</definedName>
    <definedName name="wrn.kocoglu._.ihzarat." localSheetId="8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kocoglu._.ihzarat." hidden="1">{#N/A,#N/A,FALSE,"kap1";#N/A,#N/A,FALSE,"kap2";#N/A,#N/A,FALSE,"avans";#N/A,#N/A,FALSE,"teminat_mektubu";#N/A,#N/A,FALSE,"söz_fiy_fark";#N/A,#N/A,FALSE,"fat_ihz";#N/A,#N/A,FALSE,"mal_FF_icm";#N/A,#N/A,FALSE,"çim_fiy_farkı";#N/A,#N/A,FALSE,"ihz. icmal";#N/A,#N/A,FALSE,"inş_iç_ihz";#N/A,#N/A,FALSE,"inş_iç_er";#N/A,#N/A,FALSE,"inş_iç_tut";#N/A,#N/A,FALSE,"inş_dış_ihz";#N/A,#N/A,FALSE,"inş_dış_tut";#N/A,#N/A,FALSE,"sıh_iç_ihz";#N/A,#N/A,FALSE,"sıh_iç_er";#N/A,#N/A,FALSE,"sıh_iç_tut";#N/A,#N/A,FALSE,"müş_iç_ihz";#N/A,#N/A,FALSE,"müş_iç_er";#N/A,#N/A,FALSE,"müş_iç_tut";#N/A,#N/A,FALSE,"kal_iç_ihz";#N/A,#N/A,FALSE,"kal_iç_er";#N/A,#N/A,FALSE,"kal_iç_tut";#N/A,#N/A,FALSE,"kal_dış_ihz";#N/A,#N/A,FALSE,"kal_dış_tut";#N/A,#N/A,FALSE,"elk_iç_ihz";#N/A,#N/A,FALSE,"elk_iç_er";#N/A,#N/A,FALSE,"elk_iç_tut"}</definedName>
    <definedName name="wrn.maff_report." localSheetId="8" hidden="1">{#N/A,#N/A,FALSE,"maff_h1";#N/A,#N/A,FALSE,"maff_h2";#N/A,#N/A,FALSE,"maff_h3";#N/A,#N/A,FALSE,"maff_h4";#N/A,#N/A,FALSE,"maff_h5";#N/A,#N/A,FALSE,"maff_h6";#N/A,#N/A,FALSE,"maff_h7"}</definedName>
    <definedName name="wrn.maff_report." hidden="1">{#N/A,#N/A,FALSE,"maff_h1";#N/A,#N/A,FALSE,"maff_h2";#N/A,#N/A,FALSE,"maff_h3";#N/A,#N/A,FALSE,"maff_h4";#N/A,#N/A,FALSE,"maff_h5";#N/A,#N/A,FALSE,"maff_h6";#N/A,#N/A,FALSE,"maff_h7"}</definedName>
    <definedName name="wrn.musterek_ic." localSheetId="8" hidden="1">{#N/A,#N/A,FALSE,"müş_iç_ihz";#N/A,#N/A,FALSE,"müş_iç_er";#N/A,#N/A,FALSE,"müş_iç_tut"}</definedName>
    <definedName name="wrn.musterek_ic." hidden="1">{#N/A,#N/A,FALSE,"müş_iç_ihz";#N/A,#N/A,FALSE,"müş_iç_er";#N/A,#N/A,FALSE,"müş_iç_tut"}</definedName>
    <definedName name="wrn.sihhi_ic." localSheetId="8" hidden="1">{#N/A,#N/A,FALSE,"sıh_iç_ihz";#N/A,#N/A,FALSE,"sıh_iç_er";#N/A,#N/A,FALSE,"sıh_iç_tut"}</definedName>
    <definedName name="wrn.sihhi_ic." hidden="1">{#N/A,#N/A,FALSE,"sıh_iç_ihz";#N/A,#N/A,FALSE,"sıh_iç_er";#N/A,#N/A,FALSE,"sıh_iç_tut"}</definedName>
    <definedName name="ww" localSheetId="8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ww" hidden="1">{#N/A,#N/A,FALSE,"BRIM_ICMAL";#N/A,#N/A,FALSE,"ASE_KUR";#N/A,#N/A,FALSE,"ASE_YES";#N/A,#N/A,FALSE,"AM_KUR";#N/A,#N/A,FALSE,"AMU_YES";#N/A,#N/A,FALSE,"PAR_KUR";#N/A,#N/A,FALSE,"PAR_YES";#N/A,#N/A,FALSE,"YSE_YES";#N/A,#N/A,FALSE,"YSE_YES";#N/A,#N/A,FALSE,"YM_KUR";#N/A,#N/A,FALSE,"YM_YES";#N/A,#N/A,FALSE,"YAB_KUR";#N/A,#N/A,FALSE,"YAB_YES";#N/A,#N/A,FALSE,"elek_kur";#N/A,#N/A,FALSE,"elek_yes";#N/A,#N/A,FALSE,"içm_KUR";#N/A,#N/A,FALSE,"içm_YES";#N/A,#N/A,FALSE,"TEL_KUR";#N/A,#N/A,FALSE,"TEL_YES";#N/A,#N/A,FALSE,"ISI_TES_KUR";#N/A,#N/A,FALSE,"ISI_TES_YES";#N/A,#N/A,FALSE,"ISIKAN_KUR";#N/A,#N/A,FALSE,"ISI_KAN_YES";#N/A,#N/A,FALSE,"YOLOT_KUR";#N/A,#N/A,FALSE,"YOLOT_YES";#N/A,#N/A,FALSE,"İST_KUR";#N/A,#N/A,FALSE,"İST_YES";#N/A,#N/A,FALSE,"ÇEVR_KUR";#N/A,#N/A,FALSE,"ÇEVRE_YES";#N/A,#N/A,FALSE,"PEY_KUR";#N/A,#N/A,FALSE,"PEY_YES";#N/A,#N/A,FALSE,"SULAMA_KUR";#N/A,#N/A,FALSE,"SULAMA_YES"}</definedName>
    <definedName name="_xlnm.Print_Area" localSheetId="4">'Arka Kapak'!$A$1:$D$50</definedName>
    <definedName name="_xlnm.Print_Area" localSheetId="2">BFTC!$A$1:$G$35</definedName>
    <definedName name="_xlnm.Print_Area" localSheetId="0">Bilgiler!$A$2:$J$25</definedName>
    <definedName name="_xlnm.Print_Area" localSheetId="7">Çarşaf!$A$1:$BL$29</definedName>
    <definedName name="_xlnm.Print_Area" localSheetId="8">'Fiyat Farkı Tutanağı'!$A$1:$I$41</definedName>
    <definedName name="_xlnm.Print_Area" localSheetId="1">İcmal!$A$1:$BH$59</definedName>
    <definedName name="_xlnm.Print_Area" localSheetId="6">'İş Takip Arka Yüz'!$A$1:$AA$86</definedName>
    <definedName name="_xlnm.Print_Area" localSheetId="5">'İş Takip-Ön Yüz'!$A$1:$AA$105</definedName>
    <definedName name="_xlnm.Print_Area" localSheetId="3">'Ön Kapak'!$A$1:$J$48</definedName>
    <definedName name="_xlnm.Print_Titles" localSheetId="2">BFTC!$1:$4</definedName>
    <definedName name="YUY" localSheetId="7" hidden="1">#REF!</definedName>
    <definedName name="YUY" localSheetId="8" hidden="1">#REF!</definedName>
    <definedName name="YUY" localSheetId="1" hidden="1">#REF!</definedName>
    <definedName name="YUY" hidden="1">#REF!</definedName>
    <definedName name="Z_99F77AB9_FA43_4D4B_9896_F712C1493A3C_.wvu.PrintArea" localSheetId="2" hidden="1">BFTC!$A$1:$E$33</definedName>
    <definedName name="Z_99F77AB9_FA43_4D4B_9896_F712C1493A3C_.wvu.PrintArea" localSheetId="7" hidden="1">Çarşaf!$A$1:$BL$29</definedName>
    <definedName name="Z_99F77AB9_FA43_4D4B_9896_F712C1493A3C_.wvu.PrintArea" localSheetId="1" hidden="1">İcmal!$A$1:$BH$59</definedName>
    <definedName name="Z_99F77AB9_FA43_4D4B_9896_F712C1493A3C_.wvu.PrintArea" localSheetId="6" hidden="1">'İş Takip Arka Yüz'!$A$1:$AA$86</definedName>
    <definedName name="Z_99F77AB9_FA43_4D4B_9896_F712C1493A3C_.wvu.PrintArea" localSheetId="5" hidden="1">'İş Takip-Ön Yüz'!$A$1:$AA$105</definedName>
    <definedName name="Z_99F77AB9_FA43_4D4B_9896_F712C1493A3C_.wvu.PrintArea" localSheetId="3" hidden="1">'Ön Kapak'!$A$1:$J$48</definedName>
    <definedName name="Z_C8BAC6B5_86E1_4F54_AEAC_1412291311FD_.wvu.PrintArea" localSheetId="2" hidden="1">BFTC!$A$1:$E$33</definedName>
    <definedName name="Z_C8BAC6B5_86E1_4F54_AEAC_1412291311FD_.wvu.PrintArea" localSheetId="7" hidden="1">Çarşaf!$A$1:$BL$29</definedName>
    <definedName name="Z_C8BAC6B5_86E1_4F54_AEAC_1412291311FD_.wvu.PrintArea" localSheetId="1" hidden="1">İcmal!$A$1:$BH$59</definedName>
    <definedName name="Z_C8BAC6B5_86E1_4F54_AEAC_1412291311FD_.wvu.PrintArea" localSheetId="6" hidden="1">'İş Takip Arka Yüz'!$A$1:$AA$86</definedName>
    <definedName name="Z_C8BAC6B5_86E1_4F54_AEAC_1412291311FD_.wvu.PrintArea" localSheetId="5" hidden="1">'İş Takip-Ön Yüz'!$A$1:$AA$105</definedName>
    <definedName name="Z_C8BAC6B5_86E1_4F54_AEAC_1412291311FD_.wvu.PrintArea" localSheetId="3" hidden="1">'Ön Kapak'!$A$1:$J$48</definedName>
  </definedNames>
  <calcPr calcId="191028" fullPrecision="0"/>
  <customWorkbookViews>
    <customWorkbookView name="yahya.ceyhan - Kişisel Görünüm" guid="{99F77AB9-FA43-4D4B-9896-F712C1493A3C}" mergeInterval="0" personalView="1" maximized="1" xWindow="1" yWindow="1" windowWidth="1916" windowHeight="850" activeSheetId="1"/>
    <customWorkbookView name="Kemalettin GÜNEN - Kişisel Görünüm" guid="{C8BAC6B5-86E1-4F54-AEAC-1412291311FD}" mergeInterval="0" personalView="1" maximized="1" xWindow="1" yWindow="1" windowWidth="1366" windowHeight="53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6" i="16" l="1"/>
  <c r="Y26" i="16"/>
  <c r="U26" i="16"/>
  <c r="Q26" i="16"/>
  <c r="M26" i="16"/>
  <c r="P10" i="20"/>
  <c r="P7" i="20" l="1"/>
  <c r="P11" i="20"/>
  <c r="G21" i="20"/>
  <c r="P9" i="20"/>
  <c r="P8" i="20"/>
  <c r="I26" i="16"/>
  <c r="E26" i="16"/>
  <c r="B30" i="20"/>
  <c r="A30" i="20"/>
  <c r="F12" i="20"/>
  <c r="E12" i="20"/>
  <c r="C26" i="20" l="1"/>
  <c r="C27" i="20" s="1"/>
  <c r="G20" i="20"/>
  <c r="Q11" i="20"/>
  <c r="R11" i="20" s="1"/>
  <c r="Q10" i="20"/>
  <c r="R10" i="20" s="1"/>
  <c r="Q9" i="20"/>
  <c r="R9" i="20" s="1"/>
  <c r="Q8" i="20"/>
  <c r="R8" i="20" s="1"/>
  <c r="F34" i="20"/>
  <c r="R14" i="20" l="1"/>
  <c r="R15" i="20" s="1"/>
  <c r="E23" i="20"/>
  <c r="D23" i="20"/>
  <c r="E21" i="20" l="1"/>
  <c r="D21" i="20"/>
  <c r="F39" i="20" l="1"/>
  <c r="F36" i="20"/>
  <c r="A36" i="20"/>
  <c r="I6" i="20"/>
  <c r="A6" i="20"/>
  <c r="D8" i="19" l="1"/>
  <c r="P16" i="7"/>
  <c r="P17" i="7"/>
  <c r="P18" i="7"/>
  <c r="P19" i="7"/>
  <c r="P20" i="7"/>
  <c r="P21" i="7"/>
  <c r="L16" i="7"/>
  <c r="L17" i="7"/>
  <c r="L18" i="7"/>
  <c r="L19" i="7"/>
  <c r="L20" i="7"/>
  <c r="L21" i="7"/>
  <c r="A16" i="7"/>
  <c r="A17" i="7"/>
  <c r="A18" i="7"/>
  <c r="A19" i="7"/>
  <c r="A20" i="7"/>
  <c r="A21" i="7"/>
  <c r="N23" i="6"/>
  <c r="N24" i="6"/>
  <c r="N25" i="6"/>
  <c r="N26" i="6"/>
  <c r="N27" i="6"/>
  <c r="N28" i="6"/>
  <c r="D23" i="6"/>
  <c r="D24" i="6"/>
  <c r="D25" i="6"/>
  <c r="D26" i="6"/>
  <c r="D27" i="6"/>
  <c r="D28" i="6"/>
  <c r="A28" i="6"/>
  <c r="A27" i="6"/>
  <c r="A26" i="6"/>
  <c r="A25" i="6"/>
  <c r="A24" i="6"/>
  <c r="A23" i="6"/>
  <c r="X15" i="6"/>
  <c r="E1" i="6"/>
  <c r="A37" i="19"/>
  <c r="C30" i="19"/>
  <c r="G1" i="16"/>
  <c r="G1" i="17"/>
  <c r="U11" i="16"/>
  <c r="Q11" i="16"/>
  <c r="M11" i="16"/>
  <c r="I11" i="16"/>
  <c r="E11" i="16"/>
  <c r="Y8" i="16"/>
  <c r="U8" i="16"/>
  <c r="Q8" i="16"/>
  <c r="M8" i="16"/>
  <c r="I8" i="16"/>
  <c r="E8" i="16"/>
  <c r="AC50" i="16"/>
  <c r="AC52" i="16" s="1"/>
  <c r="AC11" i="16"/>
  <c r="AC8" i="16"/>
  <c r="A20" i="17"/>
  <c r="E20" i="17"/>
  <c r="U20" i="17"/>
  <c r="W20" i="17"/>
  <c r="AA20" i="17"/>
  <c r="G12" i="9"/>
  <c r="D6" i="1"/>
  <c r="G6" i="2"/>
  <c r="G7" i="2"/>
  <c r="G8" i="2"/>
  <c r="G9" i="2"/>
  <c r="G10" i="2"/>
  <c r="G11" i="2"/>
  <c r="G5" i="2"/>
  <c r="AE20" i="17"/>
  <c r="Y50" i="16"/>
  <c r="Y52" i="16" s="1"/>
  <c r="U50" i="16"/>
  <c r="U52" i="16" s="1"/>
  <c r="Y22" i="16"/>
  <c r="Y11" i="16"/>
  <c r="A18" i="17"/>
  <c r="AA19" i="17"/>
  <c r="W19" i="17"/>
  <c r="U19" i="17"/>
  <c r="E19" i="17"/>
  <c r="A19" i="17"/>
  <c r="BB1" i="16"/>
  <c r="AE19" i="17"/>
  <c r="C32" i="19"/>
  <c r="AA15" i="17"/>
  <c r="AA16" i="17"/>
  <c r="AA17" i="17"/>
  <c r="AA18" i="17"/>
  <c r="U15" i="17"/>
  <c r="U16" i="17"/>
  <c r="U17" i="17"/>
  <c r="U18" i="17"/>
  <c r="W15" i="17"/>
  <c r="W16" i="17"/>
  <c r="W17" i="17"/>
  <c r="W18" i="17"/>
  <c r="AE16" i="17"/>
  <c r="AE15" i="17"/>
  <c r="AE18" i="17"/>
  <c r="AE17" i="17"/>
  <c r="D30" i="6"/>
  <c r="A30" i="6"/>
  <c r="C31" i="19"/>
  <c r="A49" i="19"/>
  <c r="A48" i="19"/>
  <c r="A39" i="19"/>
  <c r="A38" i="19"/>
  <c r="E15" i="17"/>
  <c r="E16" i="17"/>
  <c r="E17" i="17"/>
  <c r="E18" i="17"/>
  <c r="A15" i="17"/>
  <c r="A16" i="17"/>
  <c r="A17" i="17"/>
  <c r="U22" i="16"/>
  <c r="N22" i="6"/>
  <c r="G12" i="2"/>
  <c r="N30" i="6"/>
  <c r="Q22" i="16"/>
  <c r="M22" i="16"/>
  <c r="I22" i="16"/>
  <c r="E14" i="17"/>
  <c r="A14" i="17"/>
  <c r="C1" i="2"/>
  <c r="L15" i="7"/>
  <c r="AA14" i="17"/>
  <c r="U14" i="17"/>
  <c r="W14" i="17"/>
  <c r="AE14" i="17"/>
  <c r="AN20" i="17"/>
  <c r="AN19" i="17"/>
  <c r="AN16" i="17"/>
  <c r="AN18" i="17"/>
  <c r="AN15" i="17"/>
  <c r="AN17" i="17"/>
  <c r="E22" i="16"/>
  <c r="AN14" i="17"/>
  <c r="D22" i="6"/>
  <c r="V6" i="16"/>
  <c r="V1" i="16"/>
  <c r="AO54" i="16"/>
  <c r="A55" i="16"/>
  <c r="A54" i="16"/>
  <c r="P15" i="7"/>
  <c r="A15" i="7"/>
  <c r="V4" i="17"/>
  <c r="V1" i="17"/>
  <c r="A22" i="6"/>
  <c r="A29" i="19"/>
  <c r="A2" i="19"/>
  <c r="A1" i="19"/>
  <c r="BF7" i="17"/>
  <c r="G21" i="9"/>
  <c r="G20" i="9"/>
  <c r="G18" i="9"/>
  <c r="G19" i="9"/>
  <c r="C25" i="17"/>
  <c r="AS24" i="17"/>
  <c r="B24" i="17"/>
  <c r="G22" i="9"/>
  <c r="D29" i="9"/>
  <c r="D31" i="9"/>
  <c r="G17" i="9"/>
  <c r="G16" i="9"/>
  <c r="G13" i="9"/>
  <c r="A7" i="9"/>
  <c r="E4" i="7"/>
  <c r="N98" i="6"/>
  <c r="D99" i="6"/>
  <c r="A101" i="6"/>
  <c r="X14" i="6"/>
  <c r="X13" i="6"/>
  <c r="D20" i="6"/>
  <c r="G14" i="6"/>
  <c r="I6" i="7" s="1"/>
  <c r="T11" i="6"/>
  <c r="T10" i="6"/>
  <c r="S5" i="6"/>
  <c r="E4" i="6"/>
  <c r="E50" i="16"/>
  <c r="AJ14" i="17" s="1"/>
  <c r="AV14" i="17" s="1"/>
  <c r="I50" i="16"/>
  <c r="AJ15" i="17" s="1"/>
  <c r="T16" i="7" s="1"/>
  <c r="X16" i="7" s="1"/>
  <c r="Q50" i="16"/>
  <c r="Q52" i="16" s="1"/>
  <c r="M50" i="16"/>
  <c r="AJ16" i="17" s="1"/>
  <c r="D25" i="19"/>
  <c r="X16" i="6" l="1"/>
  <c r="G16" i="6"/>
  <c r="H11" i="7"/>
  <c r="AJ20" i="17"/>
  <c r="AV20" i="17" s="1"/>
  <c r="Q28" i="6" s="1"/>
  <c r="T28" i="6" s="1"/>
  <c r="W28" i="6" s="1"/>
  <c r="AJ18" i="17"/>
  <c r="T19" i="7" s="1"/>
  <c r="X19" i="7" s="1"/>
  <c r="I52" i="16"/>
  <c r="AJ17" i="17"/>
  <c r="T18" i="7" s="1"/>
  <c r="X18" i="7" s="1"/>
  <c r="E52" i="16"/>
  <c r="M52" i="16"/>
  <c r="AJ19" i="17"/>
  <c r="AR16" i="17"/>
  <c r="BD16" i="17" s="1"/>
  <c r="AZ16" i="17" s="1"/>
  <c r="AV16" i="17"/>
  <c r="Q24" i="6" s="1"/>
  <c r="T24" i="6" s="1"/>
  <c r="W24" i="6" s="1"/>
  <c r="AV15" i="17"/>
  <c r="Q23" i="6" s="1"/>
  <c r="T23" i="6" s="1"/>
  <c r="W23" i="6" s="1"/>
  <c r="Q22" i="6"/>
  <c r="T17" i="7"/>
  <c r="X17" i="7" s="1"/>
  <c r="T15" i="7"/>
  <c r="X15" i="7" s="1"/>
  <c r="AR14" i="17"/>
  <c r="BD14" i="17" s="1"/>
  <c r="AR15" i="17"/>
  <c r="BD15" i="17" s="1"/>
  <c r="AZ15" i="17" s="1"/>
  <c r="T21" i="7" l="1"/>
  <c r="X21" i="7" s="1"/>
  <c r="AR20" i="17"/>
  <c r="BD20" i="17" s="1"/>
  <c r="AZ20" i="17" s="1"/>
  <c r="AV18" i="17"/>
  <c r="Q26" i="6" s="1"/>
  <c r="T26" i="6" s="1"/>
  <c r="W26" i="6" s="1"/>
  <c r="AR18" i="17"/>
  <c r="BD18" i="17" s="1"/>
  <c r="AZ18" i="17" s="1"/>
  <c r="AV17" i="17"/>
  <c r="Q25" i="6" s="1"/>
  <c r="T25" i="6" s="1"/>
  <c r="W25" i="6" s="1"/>
  <c r="AR17" i="17"/>
  <c r="BD17" i="17" s="1"/>
  <c r="AZ17" i="17" s="1"/>
  <c r="AV19" i="17"/>
  <c r="Q27" i="6" s="1"/>
  <c r="T27" i="6" s="1"/>
  <c r="W27" i="6" s="1"/>
  <c r="T20" i="7"/>
  <c r="X20" i="7" s="1"/>
  <c r="AR19" i="17"/>
  <c r="BD19" i="17" s="1"/>
  <c r="AZ14" i="17"/>
  <c r="T22" i="6"/>
  <c r="W22" i="6" s="1"/>
  <c r="D4" i="19" l="1"/>
  <c r="H12" i="7" s="1"/>
  <c r="H13" i="7" s="1"/>
  <c r="BD21" i="17"/>
  <c r="AZ19" i="17"/>
  <c r="D3" i="19"/>
  <c r="AV21" i="17"/>
  <c r="A11" i="20" s="1"/>
  <c r="L16" i="20" s="1"/>
  <c r="R17" i="20" s="1"/>
  <c r="Q30" i="6" l="1"/>
  <c r="T30" i="6" s="1"/>
  <c r="W30" i="6" s="1"/>
  <c r="D5" i="19"/>
  <c r="Q98" i="6" l="1"/>
  <c r="V99" i="6" s="1"/>
  <c r="Y99" i="6" s="1"/>
  <c r="D101" i="6" l="1"/>
  <c r="Q101" i="6" s="1"/>
  <c r="T101" i="6" s="1"/>
  <c r="G11" i="20" l="1"/>
  <c r="C24" i="20" s="1"/>
  <c r="C28" i="20" s="1"/>
  <c r="F30" i="20" l="1"/>
  <c r="D6" i="19" s="1"/>
  <c r="D7" i="19" s="1"/>
  <c r="D9" i="19" s="1"/>
  <c r="D10" i="19" s="1"/>
  <c r="D11" i="19" s="1"/>
  <c r="D26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Kemalettin GÜNEN</author>
  </authors>
  <commentList>
    <comment ref="A12" authorId="0" shapeId="0" xr:uid="{5D43B0F5-FB6E-42D6-ADF2-B67ADDA211BF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……. Olan kısma, hakediş ayından bir önceki ay yazılacak. (Ör. Hakediş 15.06.2019 tarihinde yapılmışsa Mayıs 2019 olacak</t>
        </r>
      </text>
    </comment>
    <comment ref="D20" authorId="0" shapeId="0" xr:uid="{0C2AF192-04A9-4FAA-9EEE-81B3A534BC9E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İhalenin yapıldığı ay</t>
        </r>
      </text>
    </comment>
    <comment ref="G20" authorId="0" shapeId="0" xr:uid="{8C20D248-25C3-46AB-B855-F7465A3B72BC}">
      <text>
        <r>
          <rPr>
            <b/>
            <sz val="9"/>
            <color indexed="81"/>
            <rFont val="Tahoma"/>
            <family val="2"/>
            <charset val="162"/>
          </rPr>
          <t xml:space="preserve">Kemalettin GÜNEN:
</t>
        </r>
        <r>
          <rPr>
            <sz val="9"/>
            <color indexed="81"/>
            <rFont val="Tahoma"/>
            <family val="2"/>
            <charset val="162"/>
          </rPr>
          <t>Yİ - ÜFE Yurt İçi Üretici Fiyat Endeksi ve Değişim Oranı tablosundan o ayın değeri alınacak</t>
        </r>
      </text>
    </comment>
    <comment ref="D21" authorId="0" shapeId="0" xr:uid="{9A5D6C8E-1AC1-4E0D-B12D-36EF2BA57DAD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Hakedişten bir önceki ay
</t>
        </r>
      </text>
    </comment>
    <comment ref="G21" authorId="0" shapeId="0" xr:uid="{FAF185D8-AB87-4F83-8176-6C1DF8A2DEA5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Yİ - ÜFE Yurt İçi Üretici Fiyat Endeksi ve Değişim Oranı tablosundan o ayın değeri alınacak</t>
        </r>
      </text>
    </comment>
    <comment ref="A23" authorId="0" shapeId="0" xr:uid="{673B95AA-903B-44B2-9A17-AE46366ECCA9}">
      <text>
        <r>
          <rPr>
            <b/>
            <sz val="9"/>
            <color indexed="81"/>
            <rFont val="Tahoma"/>
            <family val="2"/>
            <charset val="162"/>
          </rPr>
          <t>Kemalettin GÜNEN:</t>
        </r>
        <r>
          <rPr>
            <sz val="9"/>
            <color indexed="81"/>
            <rFont val="Tahoma"/>
            <family val="2"/>
            <charset val="162"/>
          </rPr>
          <t xml:space="preserve">
……. Olan kısma, hakediş ayından bir önceki ay yazılacak. (Ör. Hakediş 15.06.2019 tarihinde yapılmışsa Mayıs 2019 olacak</t>
        </r>
      </text>
    </comment>
  </commentList>
</comments>
</file>

<file path=xl/sharedStrings.xml><?xml version="1.0" encoding="utf-8"?>
<sst xmlns="http://schemas.openxmlformats.org/spreadsheetml/2006/main" count="321" uniqueCount="271">
  <si>
    <t>KASKİ GENEL MÜDÜRLÜĞÜ</t>
  </si>
  <si>
    <t>İşin Adı:</t>
  </si>
  <si>
    <t>İhale Tarihi:</t>
  </si>
  <si>
    <t>İşin Süresi:</t>
  </si>
  <si>
    <t>İhale Tenzilatı:</t>
  </si>
  <si>
    <t>İşin Yüklenicisi:</t>
  </si>
  <si>
    <t>Keşif Bedeli:</t>
  </si>
  <si>
    <t>Sözleşme Tarihi:</t>
  </si>
  <si>
    <t>İşin Biteceği Tarih:</t>
  </si>
  <si>
    <t>Hakediş No:</t>
  </si>
  <si>
    <t>İdare Adına Onaylayan:</t>
  </si>
  <si>
    <t>Yer Teslim Tarihi:</t>
  </si>
  <si>
    <t>Önceki Hakediş Bedeli:</t>
  </si>
  <si>
    <t>Tutanak Tasdik Tarihi:</t>
  </si>
  <si>
    <t>YÜKLENİCİ</t>
  </si>
  <si>
    <t>İhale Kayıt No:</t>
  </si>
  <si>
    <t>Kahramanmaraş Su ve Kanalizasyon İdaresi Genel Müdürlüğü</t>
  </si>
  <si>
    <t>Sıra No</t>
  </si>
  <si>
    <t>KASKİ</t>
  </si>
  <si>
    <t>Mesleği:</t>
  </si>
  <si>
    <t>Sayfa No:</t>
  </si>
  <si>
    <t>İşin Adı</t>
  </si>
  <si>
    <t>Sözleşmeye esas işin özeti</t>
  </si>
  <si>
    <t>TEL</t>
  </si>
  <si>
    <t>FAX</t>
  </si>
  <si>
    <t>ADRESİ</t>
  </si>
  <si>
    <t>İHALE MAKAMI</t>
  </si>
  <si>
    <t>KONTROL MÜH.</t>
  </si>
  <si>
    <t>MÜLKİ AMİR</t>
  </si>
  <si>
    <t>SÖZLEŞME BEDELLERİ</t>
  </si>
  <si>
    <t>ÖNEMLİ TARİHLER</t>
  </si>
  <si>
    <t>SÖZLEŞME BEDELİ (TL)</t>
  </si>
  <si>
    <t xml:space="preserve">ONAY TARİHİ </t>
  </si>
  <si>
    <t>ONAY SAYISI</t>
  </si>
  <si>
    <t>SÖZLEŞME TARİHİ</t>
  </si>
  <si>
    <t>İŞE BAŞLAMA TARİHİ</t>
  </si>
  <si>
    <t>İŞİN SÜRESİ</t>
  </si>
  <si>
    <t>İŞİN SON BİTİŞ TARİHİ</t>
  </si>
  <si>
    <t>KESİN KABUL TARİHİ</t>
  </si>
  <si>
    <t>TASF./FESİH KABUL TARİHİ</t>
  </si>
  <si>
    <t>Sözleşme Bedeli</t>
  </si>
  <si>
    <t>Sözleşme Bedeli'nin %20'si</t>
  </si>
  <si>
    <t>TOPLAM</t>
  </si>
  <si>
    <t>1 NO'LU (İLK) REVİZE  İŞ PROGRAMI ONAYI</t>
  </si>
  <si>
    <t>…. NO'LU REVİZE  İŞ PROGRAMI ONAYI</t>
  </si>
  <si>
    <t>….. NO'LU REVİZE  İŞ PROGRAMI ONAYI</t>
  </si>
  <si>
    <t>EN SON (</t>
  </si>
  <si>
    <t xml:space="preserve">   ) NO.LU HAKEDİŞE  GÖRE  İMALAT   VE  ÖDEME  DURUMU  (B)</t>
  </si>
  <si>
    <t>POZ NO</t>
  </si>
  <si>
    <t>İmalatın Adı</t>
  </si>
  <si>
    <t>Sözleşme Bedeli (TL)</t>
  </si>
  <si>
    <t>Hakediş Tutarı (TL)</t>
  </si>
  <si>
    <t xml:space="preserve">Sözleşme Bedeline Göre Gerçekleşme %'si  NAKTİ </t>
  </si>
  <si>
    <t xml:space="preserve"> ÜNİTENİN  Gerçekleşme   %'si  FİZİKİ </t>
  </si>
  <si>
    <t>NOT:</t>
  </si>
  <si>
    <t>(A)</t>
  </si>
  <si>
    <t>(B)</t>
  </si>
  <si>
    <t>En son hakediş itibar tarihi ile yapılan imalatın tümünü ifade eder.</t>
  </si>
  <si>
    <t>(C)</t>
  </si>
  <si>
    <t>NAKTİ % ,Yapılan imalat bedelinin sözleşmeye oranını belirtir. (2 nolu sütun değeri/ 1 nolu sütun değeri )</t>
  </si>
  <si>
    <t xml:space="preserve"> </t>
  </si>
  <si>
    <t>(D)</t>
  </si>
  <si>
    <t>FİZİKİ % ise Ünitenin bütününe göre yapılanı ifade eder ve % 100 ü geçemez (Yapılan metraj / Uygulama proje metrajı)</t>
  </si>
  <si>
    <t>Denetim şekli olarak; Banka, Müşterek veya İzleme durumundan birisi yazılır.</t>
  </si>
  <si>
    <t>TARİH</t>
  </si>
  <si>
    <t>TOPLAM İŞ</t>
  </si>
  <si>
    <t>FİYAT FARKLARI</t>
  </si>
  <si>
    <t>KDV</t>
  </si>
  <si>
    <t>TOPLAM ÖDEME</t>
  </si>
  <si>
    <t xml:space="preserve">       ) NO.LU HAKEDİŞE  GÖRE TÜM ÖDEMELER  (B)</t>
  </si>
  <si>
    <t>GENEL GERÇEKLEŞME %</t>
  </si>
  <si>
    <t xml:space="preserve"> Programa Giriş Çıkış Tarihi      </t>
  </si>
  <si>
    <t xml:space="preserve"> YATIRIM PROGRAMI DURUMU</t>
  </si>
  <si>
    <t>YILLAR</t>
  </si>
  <si>
    <t>Sözleşme Bedeline Göre</t>
  </si>
  <si>
    <t>Yıl İçi Gerçekleşme</t>
  </si>
  <si>
    <t>Genel Gerçekleşme Yüzdesi</t>
  </si>
  <si>
    <t>Sözleşmedeki Miktar</t>
  </si>
  <si>
    <t xml:space="preserve">Tatbikat Projesi 
Miktarı </t>
  </si>
  <si>
    <t>Yapılan Miktar</t>
  </si>
  <si>
    <t>Kalan  Miktar</t>
  </si>
  <si>
    <t>Ünite Adları</t>
  </si>
  <si>
    <t>KAHRAMANMARAŞ SU VE KANALİZASYON İDARESİ
GENEL MÜDÜRLÜĞÜ</t>
  </si>
  <si>
    <t>HAKEDİŞ RAPORU</t>
  </si>
  <si>
    <t>:</t>
  </si>
  <si>
    <t>TARİHİ</t>
  </si>
  <si>
    <t>NO'SU</t>
  </si>
  <si>
    <t>UYGULAMA YILI</t>
  </si>
  <si>
    <t>YÜKLENİCİNİN ADI / TİCARİ ÜNVANI</t>
  </si>
  <si>
    <t>SÖZLEŞME BEDELİ</t>
  </si>
  <si>
    <t>İHALE TARİHİ</t>
  </si>
  <si>
    <t>İŞYERİ TESLİM TARİHİ</t>
  </si>
  <si>
    <t>SÖZLEŞMEYE GÖRE İŞİN SÜRESİ</t>
  </si>
  <si>
    <t>SÖZLEŞMEYE GÖRE İŞ BİTİM TARİHİ</t>
  </si>
  <si>
    <t>SÖZLEŞME BEDELLERİ (TL)</t>
  </si>
  <si>
    <t>ONAY VE KARARLAR</t>
  </si>
  <si>
    <t>ANA SÖZLEŞME</t>
  </si>
  <si>
    <t>% 20 FAZLA İŞ</t>
  </si>
  <si>
    <t xml:space="preserve">TOPLAM </t>
  </si>
  <si>
    <t>SON SÜRE UZATIMI :</t>
  </si>
  <si>
    <t xml:space="preserve">İTİBAR EDİLEN İŞİN BİTİM TARİHİ    </t>
  </si>
  <si>
    <t xml:space="preserve">GEÇİCİ KABUL TARİHİ    </t>
  </si>
  <si>
    <t xml:space="preserve">GEÇİCİ KABUL İTİBAR TARİHİ   </t>
  </si>
  <si>
    <t xml:space="preserve">GEÇİCİ KABUL ONANMA TARİHİ   </t>
  </si>
  <si>
    <t>:  ....... / ...... / 20….</t>
  </si>
  <si>
    <t>HAKEDİŞ NO</t>
  </si>
  <si>
    <t>HAKEDİŞ İNCELEME</t>
  </si>
  <si>
    <t>Adet</t>
  </si>
  <si>
    <t>Miktarı</t>
  </si>
  <si>
    <t>Müdür:</t>
  </si>
  <si>
    <t>Ünvanı:</t>
  </si>
  <si>
    <t>GEÇİCİ KABUL TARİHİ</t>
  </si>
  <si>
    <t>......./......../20..   Tarih ve............  Sayılı Onayla/kararla</t>
  </si>
  <si>
    <t>FİYATLANDIRMA CETVELİ</t>
  </si>
  <si>
    <t>YAPILAN İŞİN CİNSİ</t>
  </si>
  <si>
    <t>BİRİMİ</t>
  </si>
  <si>
    <t>SÖZLEŞME MİKTARLARI</t>
  </si>
  <si>
    <t>SÖZLEŞME BİRİM FİYATLARI (TL)</t>
  </si>
  <si>
    <t>HAKEDİŞ İMALAT MİKTARLARI</t>
  </si>
  <si>
    <t>GERÇEKLEŞME YÜZDESİ (%)</t>
  </si>
  <si>
    <t>AÇIKLAMA</t>
  </si>
  <si>
    <t>3=1x2</t>
  </si>
  <si>
    <t>BİRİM FİYAT TEKLİF CETVELİ</t>
  </si>
  <si>
    <t>Poz No</t>
  </si>
  <si>
    <t>Ölçü Birimi</t>
  </si>
  <si>
    <t>Teklif Edilen Birim Fiyat</t>
  </si>
  <si>
    <t>Tutarı</t>
  </si>
  <si>
    <t>İCMAL TABLOSU</t>
  </si>
  <si>
    <t>SAYFA NO</t>
  </si>
  <si>
    <t>Birimi</t>
  </si>
  <si>
    <t>Bir önceki
hak. toplamı</t>
  </si>
  <si>
    <t>Toplam (A)</t>
  </si>
  <si>
    <t>A)</t>
  </si>
  <si>
    <t>Sözleşme Fiyatları İle Yapılan Toplam İş Tutarı</t>
  </si>
  <si>
    <t>B)</t>
  </si>
  <si>
    <t>Toplam Fiyat Farkı Tutarı</t>
  </si>
  <si>
    <t>C)</t>
  </si>
  <si>
    <t>Toplam Tutar ( A + B )</t>
  </si>
  <si>
    <t>Bir Önceki Hakedişin Toplam Tutarı</t>
  </si>
  <si>
    <t>D)</t>
  </si>
  <si>
    <t>Bu Hakedişin Tutarı ( C - D )</t>
  </si>
  <si>
    <t>Tahakkuk Tutarı</t>
  </si>
  <si>
    <t>E)</t>
  </si>
  <si>
    <t>F)</t>
  </si>
  <si>
    <t>KESİNTİLER VE MAHSUPLAR</t>
  </si>
  <si>
    <t>…………………..</t>
  </si>
  <si>
    <t>Kesintiler ve Mahsuplar Toplamı</t>
  </si>
  <si>
    <t>Yükleniciye Ödenecek Hakediş Tutarı ( G - H)</t>
  </si>
  <si>
    <t>H)</t>
  </si>
  <si>
    <t>a) Gelir / Kurumlar Vergisi ( E x % 3 )</t>
  </si>
  <si>
    <t>b) Damga Vergisi  ( E - g x % 0.948 )</t>
  </si>
  <si>
    <t>Sözleşme Bedeli:</t>
  </si>
  <si>
    <t>ÖNCEKİ HAKEDİŞ İMALAT MİKTARLARI</t>
  </si>
  <si>
    <t>TOPLAM HAKEDİŞ İMALAT MİKTARLARI</t>
  </si>
  <si>
    <t>BU HAKEDİŞ TOPLAMI
(TL)</t>
  </si>
  <si>
    <t>6=4+5</t>
  </si>
  <si>
    <t>7=2x4</t>
  </si>
  <si>
    <t>9=6x4</t>
  </si>
  <si>
    <t>HK. TOPLAMI</t>
  </si>
  <si>
    <t>GENEL TOPLAM</t>
  </si>
  <si>
    <t>GENEL TOP.</t>
  </si>
  <si>
    <t>SÖZLEŞME BİRİM FİYATLARI İLE YAPILAN TOPLAM İMALAT (TL)</t>
  </si>
  <si>
    <t>8=9/3</t>
  </si>
  <si>
    <t xml:space="preserve">     TASVİP EDEN</t>
  </si>
  <si>
    <t>KASKİ-01</t>
  </si>
  <si>
    <t>Kontrol</t>
  </si>
  <si>
    <t>d) Sayaç Mal Alım Tevkifatı</t>
  </si>
  <si>
    <t>Mal Alım</t>
  </si>
  <si>
    <t>Hizmet Alım</t>
  </si>
  <si>
    <t>e) Sosyal Güvenlik Kurumu Kesintisi</t>
  </si>
  <si>
    <t>f) Gecikme Cezası</t>
  </si>
  <si>
    <t>g) Bu Hakedişle Ödenen Fiyat Farkı Teminat Kesintisi</t>
  </si>
  <si>
    <t>h) Kesin Hesap Kesintisi (%5)</t>
  </si>
  <si>
    <t>ı) Teknik Personel Cezası</t>
  </si>
  <si>
    <t>KONTROL</t>
  </si>
  <si>
    <t>c) KDV Tevkifatı ( F x ...)</t>
  </si>
  <si>
    <t>ABONE İŞLERİ DAİRE BAŞKANI</t>
  </si>
  <si>
    <t>BİRİM FİYAT YILI (2024)</t>
  </si>
  <si>
    <t xml:space="preserve"> KONTROL</t>
  </si>
  <si>
    <t>KDV ( E  x  %20)</t>
  </si>
  <si>
    <t>KEMALETTİN GÜNEN</t>
  </si>
  <si>
    <t>2025 yılı proje tutarı</t>
  </si>
  <si>
    <t>Sayaç Endekslerinin Okunması, Mobil Okuma Cihazı İle Tespiti ve Makbuz Dağıtılması İşlemi</t>
  </si>
  <si>
    <t>KASKİ-02</t>
  </si>
  <si>
    <t>Sayaç Endekslerinin Yerinde Yapılan Kontrollerde Tespit Edilememesi (kıyas okuma veya evde yok okuma) İşlemi</t>
  </si>
  <si>
    <t>KASKİ-03</t>
  </si>
  <si>
    <t>KASKİ-04</t>
  </si>
  <si>
    <t>KASKİ-05</t>
  </si>
  <si>
    <t>KASKİ-06</t>
  </si>
  <si>
    <t>KASKİ-07</t>
  </si>
  <si>
    <t>İl Geneli Mobil Okuma Cihazı Kullanarak On-Line ve Off-Line Sayaç Endeks Tespiti, Fatura Dağıtımı,Sayaç Mühürlenmesi, Sayaç Sökme-Takma, Su Kapama veya Su Açma, Sayaç Alımı ve Kaçak Tespiti Hizmeti</t>
  </si>
  <si>
    <t>ER-SAN ELEKTRİK İNŞ. TAAH.TİC.LTD.ŞTİ.</t>
  </si>
  <si>
    <t>2025/1219715</t>
  </si>
  <si>
    <t>İş Yapılan Ayın Son Günü</t>
  </si>
  <si>
    <t>03/11/2025   Tarihli Sözleşme</t>
  </si>
  <si>
    <t>İdare Adı</t>
  </si>
  <si>
    <t xml:space="preserve">T.C. 
KAHRAMANMARAŞ  SU VE KANALİZASYON İDARESİ GENEL MÜDÜRLÜĞÜ
ABONE İŞLERİ DAİRESİ BAŞKANLIĞI </t>
  </si>
  <si>
    <t>TASDİK EDEN</t>
  </si>
  <si>
    <t xml:space="preserve"> İŞ  PROGRAMI  DİLİMLERİ  ( 1 NO'LU  REVİZE  İŞ  PROGRAMINA  GÖRE)</t>
  </si>
  <si>
    <t>Mühürsüz Sayaçların Mühürlemesi</t>
  </si>
  <si>
    <t>Sayaç Sökme ve Sayaç Takma</t>
  </si>
  <si>
    <t>Su Kapama veya Su Açma</t>
  </si>
  <si>
    <t>Sayaç Alımı (Teknik Şartnamede Özellikleri Belirtilen) DN20 190 MM</t>
  </si>
  <si>
    <t>İçme Suyu Hatlarında Sayaçlı Abonesiz, Sayaçsız ve Kaçak Kullanımın Tespit Edilmesi ve Raporlanması</t>
  </si>
  <si>
    <t>KAHRAMANMARAŞ SU VE KANALİZASYON İDARESİ GENEL MÜDÜRLÜĞÜ</t>
  </si>
  <si>
    <t xml:space="preserve">                                </t>
  </si>
  <si>
    <t xml:space="preserve">                         </t>
  </si>
  <si>
    <t>FİYAT FARKI HESAP TABLOSU</t>
  </si>
  <si>
    <t>Hakediş Tutarı</t>
  </si>
  <si>
    <t>Avans Mahsubu (Varsa)</t>
  </si>
  <si>
    <t>Fiyat Farkına Esas Tutar</t>
  </si>
  <si>
    <t>A</t>
  </si>
  <si>
    <t>B</t>
  </si>
  <si>
    <t>An=A-B</t>
  </si>
  <si>
    <t>F = An x B x (Pn - 1)</t>
  </si>
  <si>
    <t>An= Hakedişe Giren Rakam</t>
  </si>
  <si>
    <t>B= Sabit Katsayı (0,90)</t>
  </si>
  <si>
    <t>Pn=Güncel Endeks / Temel Endeks</t>
  </si>
  <si>
    <t>Temel Endekslerin Alınacağı Ay:</t>
  </si>
  <si>
    <t>(</t>
  </si>
  <si>
    <t>)</t>
  </si>
  <si>
    <t>Güncel Endekslerin Alınacağı Ay:</t>
  </si>
  <si>
    <t>An</t>
  </si>
  <si>
    <t>=</t>
  </si>
  <si>
    <t>Pn</t>
  </si>
  <si>
    <t>B * ( Pn - 1 )</t>
  </si>
  <si>
    <t>F</t>
  </si>
  <si>
    <t>ABONE İŞLERİ DAİRESİ BAŞKANLIĞI</t>
  </si>
  <si>
    <t xml:space="preserve"> ÖMER FARUK YAŞAR      -     HARUN KAZANCI    -      ÖMER BUCAK</t>
  </si>
  <si>
    <t>İDARİ İŞLER SORUMLUSU  -  OKUMA YÖNETİCİSİ -   SAYAÇ VERİ GİRİŞ OP.</t>
  </si>
  <si>
    <t>AHMET BOLAT</t>
  </si>
  <si>
    <t>ABONE KOORDİNASYON ŞUBE MÜDÜRÜ</t>
  </si>
  <si>
    <r>
      <t>Hakediş Ay</t>
    </r>
    <r>
      <rPr>
        <sz val="11"/>
        <color theme="1"/>
        <rFont val="Calibri"/>
        <family val="2"/>
        <charset val="162"/>
        <scheme val="minor"/>
      </rPr>
      <t>ı</t>
    </r>
  </si>
  <si>
    <t>Hakediş Yılı</t>
  </si>
  <si>
    <t xml:space="preserve">FİYAT FARKI HESABI - </t>
  </si>
  <si>
    <t>Kalem</t>
  </si>
  <si>
    <t>Oran (n/o)</t>
  </si>
  <si>
    <t>Motorin (Diğer)</t>
  </si>
  <si>
    <t>Yİ-ÜFE Genel</t>
  </si>
  <si>
    <t>Makine-Ekipman b.y.s.</t>
  </si>
  <si>
    <t>İşçilik (İ) Asgari Ücret</t>
  </si>
  <si>
    <t>Katsayı</t>
  </si>
  <si>
    <t>TOPLAM HAKEDİŞ TUTARI</t>
  </si>
  <si>
    <t>EYLÜL</t>
  </si>
  <si>
    <t>B KATSAYISI</t>
  </si>
  <si>
    <t>B* Pn -1</t>
  </si>
  <si>
    <t>TOPLAM FİYAT FARKI</t>
  </si>
  <si>
    <t>FİYAT FARKI FORMÜLÜ</t>
  </si>
  <si>
    <t>Ay'ı için ödenecek olan Fiyat Farkı (TL)=</t>
  </si>
  <si>
    <t>Pn Katsayısı</t>
  </si>
  <si>
    <t>a1</t>
  </si>
  <si>
    <t>b1</t>
  </si>
  <si>
    <t>b2</t>
  </si>
  <si>
    <t>c</t>
  </si>
  <si>
    <t>Temel Eylül 2025</t>
  </si>
  <si>
    <t>2026</t>
  </si>
  <si>
    <t>…../…../2026</t>
  </si>
  <si>
    <t>Normal Endeks Okuma</t>
  </si>
  <si>
    <t>Sayaç Mühürleme</t>
  </si>
  <si>
    <t>Sayaç Sökme Takma</t>
  </si>
  <si>
    <t>Su açma Su Kapama</t>
  </si>
  <si>
    <t>Sayaç Alımı</t>
  </si>
  <si>
    <t>Kaçak Ve Abonesiz</t>
  </si>
  <si>
    <t>FİYAT FARKI ENDEKSLERİ</t>
  </si>
  <si>
    <t>İşçilik (İ) Asgari Ücret (a1)</t>
  </si>
  <si>
    <t>Yİ-ÜFE Genel (b2)</t>
  </si>
  <si>
    <t>Makine-Ekipman b.y.s. ( c )</t>
  </si>
  <si>
    <t>Kıyas Endeks Okuma</t>
  </si>
  <si>
    <t>Motorin (Diğer) (b1)</t>
  </si>
  <si>
    <t>…/…/2026 TARİH VE …………….. sayılı daire başkanlığı oluru ile …/…/2026 Tarihine Kadar</t>
  </si>
  <si>
    <t>ŞUBAT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</si>
</sst>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41" formatCode="_-* #,##0_-;\-* #,##0_-;_-* &quot;-&quot;_-;_-@_-"/>
    <numFmt numFmtId="43" formatCode="_-* #,##0.00_-;\-* #,##0.00_-;_-* &quot;-&quot;??_-;_-@_-"/>
    <numFmt numFmtId="164" formatCode="_-* #,##0\ _T_L_-;\-* #,##0\ _T_L_-;_-* &quot;-&quot;\ _T_L_-;_-@_-"/>
    <numFmt numFmtId="165" formatCode="_-* #,##0.00\ &quot;TL&quot;_-;\-* #,##0.00\ &quot;TL&quot;_-;_-* &quot;-&quot;??\ &quot;TL&quot;_-;_-@_-"/>
    <numFmt numFmtId="166" formatCode="#,##0\ &quot;GBP&quot;"/>
    <numFmt numFmtId="167" formatCode="#,##0\ &quot;YTL&quot;;[Red]\-#,##0\ &quot;YTL&quot;"/>
    <numFmt numFmtId="168" formatCode="_-* #,##0.000\ &quot;TL&quot;_-;\-* #,##0.000\ &quot;TL&quot;_-;_-* &quot;-&quot;??\ &quot;TL&quot;_-;_-@_-"/>
    <numFmt numFmtId="169" formatCode="&quot;\&quot;#,##0.00;[Red]&quot;\&quot;\-#,##0.00"/>
    <numFmt numFmtId="170" formatCode="_ &quot;\&quot;* #,##0_ ;_ &quot;\&quot;* \-#,##0_ ;_ &quot;\&quot;* &quot;-&quot;_ ;_ @_ "/>
    <numFmt numFmtId="171" formatCode="_ * #,##0_ ;_ * \-#,##0_ ;_ * &quot;-&quot;_ ;_ @_ "/>
    <numFmt numFmtId="172" formatCode="_ &quot;\&quot;* #,##0.00_ ;_ &quot;\&quot;* \-#,##0.00_ ;_ &quot;\&quot;* &quot;-&quot;??_ ;_ @_ "/>
    <numFmt numFmtId="173" formatCode="_ * #,##0.00_ ;_ * \-#,##0.00_ ;_ * &quot;-&quot;??_ ;_ @_ "/>
    <numFmt numFmtId="174" formatCode="#,##0&quot;\&quot;\ &quot;DM&quot;;&quot;\&quot;\-#,##0&quot;\&quot;\ &quot;DM&quot;"/>
    <numFmt numFmtId="175" formatCode="\$#,##0\ ;\(\$#,##0\)"/>
    <numFmt numFmtId="176" formatCode="_-* #,##0&quot;\&quot;&quot;\&quot;\ _D_M_-;&quot;\&quot;&quot;\&quot;\-* #,##0&quot;\&quot;&quot;\&quot;\ _D_M_-;_-* &quot;-&quot;&quot;\&quot;&quot;\&quot;\ _D_M_-;_-@_-"/>
    <numFmt numFmtId="177" formatCode="_-* #,##0.00&quot;\&quot;&quot;\&quot;\ _D_M_-;&quot;\&quot;&quot;\&quot;\-* #,##0.00&quot;\&quot;&quot;\&quot;\ _D_M_-;_-* &quot;-&quot;??&quot;\&quot;&quot;\&quot;\ _D_M_-;_-@_-"/>
    <numFmt numFmtId="178" formatCode="#,##0.000"/>
    <numFmt numFmtId="179" formatCode="#,"/>
    <numFmt numFmtId="180" formatCode="0.0000"/>
    <numFmt numFmtId="181" formatCode="0.0"/>
    <numFmt numFmtId="182" formatCode="#,##0.00\ &quot;₺&quot;"/>
    <numFmt numFmtId="183" formatCode="#,##0.000\ &quot;₺&quot;"/>
    <numFmt numFmtId="184" formatCode="_-* #,##0\ &quot;TL&quot;_-;\-* #,##0\ &quot;TL&quot;_-;_-* &quot;-&quot;\ &quot;TL&quot;_-;_-@_-"/>
    <numFmt numFmtId="185" formatCode="_-* #,##0.00\ _T_L_-;\-* #,##0.00\ _T_L_-;_-* &quot;-&quot;??\ _T_L_-;_-@_-"/>
    <numFmt numFmtId="186" formatCode="#,##0.0000"/>
    <numFmt numFmtId="187" formatCode="###\ ###\ ###\ ###\ ##0.00"/>
    <numFmt numFmtId="188" formatCode="#,##0&quot;TL&quot;;[Red]\-#,##0&quot;TL&quot;"/>
    <numFmt numFmtId="189" formatCode="###\ ###\ ###\ ###\ ###\ ###\ &quot;TL&quot;\."/>
    <numFmt numFmtId="190" formatCode="#\ ###\ ###\ ###\ ##0"/>
    <numFmt numFmtId="191" formatCode="&quot;$&quot;#,##0_);\(&quot;$&quot;#,##0\)"/>
    <numFmt numFmtId="192" formatCode="#,##0.00_);\(#,##0.00\)"/>
    <numFmt numFmtId="193" formatCode="_-* #,##0.00_T_L_-;\-* #,##0.00_T_L_-;_-* &quot;-&quot;??_T_L_-;_-@_-"/>
    <numFmt numFmtId="194" formatCode="#,##0_);\(#,##0\)"/>
    <numFmt numFmtId="195" formatCode="\$#,##0.00_);\(\$#,##0.00\)"/>
    <numFmt numFmtId="196" formatCode="_(&quot;$&quot;* #,##\_x0003_0_);_(&quot;$&quot;* \(#,##0\);_(&quot;$&quot;* &quot;-&quot;_);_(@_)"/>
    <numFmt numFmtId="197" formatCode="_-* #,##0.00&quot;TL&quot;_-;\-* #,##0.00&quot;TL&quot;_-;_-* &quot;-&quot;??&quot;TL&quot;_-;_-@_-"/>
    <numFmt numFmtId="198" formatCode="\$#,##0_);\(\$#,##0\)"/>
    <numFmt numFmtId="199" formatCode="mmmm\ d\,\ yyyy"/>
    <numFmt numFmtId="200" formatCode="_-* #,##0.00\ [$€-1]_-;\-* #,##0.00\ [$€-1]_-;_-* &quot;-&quot;??\ [$€-1]_-"/>
    <numFmt numFmtId="201" formatCode="#,##0.000\ \m\3\ "/>
    <numFmt numFmtId="202" formatCode="_-* #,##0\ _F_-;\-* #,##0\ _F_-;_-* &quot;-&quot;\ _F_-;_-@_-"/>
    <numFmt numFmtId="203" formatCode="_-* #,##0\ &quot;F&quot;_-;\-* #,##0\ &quot;F&quot;_-;_-* &quot;-&quot;\ &quot;F&quot;_-;_-@_-"/>
    <numFmt numFmtId="204" formatCode="_-* #,##0.00\ &quot;F&quot;_-;\-* #,##0.00\ &quot;F&quot;_-;_-* &quot;-&quot;??\ &quot;F&quot;_-;_-@_-"/>
    <numFmt numFmtId="205" formatCode="0.000%"/>
    <numFmt numFmtId="206" formatCode="0.000\ "/>
    <numFmt numFmtId="207" formatCode="_-&quot;$&quot;\ * #,##0_-;\-&quot;$&quot;\ * #,##0_-;_-&quot;$&quot;\ * &quot;-&quot;_-;_-@_-"/>
    <numFmt numFmtId="208" formatCode="_-&quot;$&quot;\ * #,##0.00_-;\-&quot;$&quot;\ * #,##0.00_-;_-&quot;$&quot;\ * &quot;-&quot;??_-;_-@_-"/>
    <numFmt numFmtId="209" formatCode="#.00"/>
    <numFmt numFmtId="210" formatCode="#,##0.00\ \T\L"/>
    <numFmt numFmtId="211" formatCode="0.000000"/>
    <numFmt numFmtId="212" formatCode="\m\m\m\m\ yyyy"/>
    <numFmt numFmtId="213" formatCode="0.00000"/>
    <numFmt numFmtId="214" formatCode="#,##0.00000"/>
  </numFmts>
  <fonts count="103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10"/>
      <name val="Arial Tur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10"/>
      <name val="Times New Roman"/>
      <family val="1"/>
      <charset val="162"/>
    </font>
    <font>
      <b/>
      <sz val="8"/>
      <name val="Arial Tur"/>
      <charset val="162"/>
    </font>
    <font>
      <sz val="8"/>
      <name val="Univers"/>
      <charset val="162"/>
    </font>
    <font>
      <sz val="9"/>
      <name val="MS Serif"/>
      <family val="1"/>
    </font>
    <font>
      <sz val="8.5"/>
      <name val="MS Sans Serif"/>
      <family val="2"/>
    </font>
    <font>
      <sz val="10"/>
      <name val="TFF Gazete"/>
    </font>
    <font>
      <b/>
      <i/>
      <sz val="12"/>
      <name val="Arial Tur"/>
      <family val="2"/>
      <charset val="162"/>
    </font>
    <font>
      <sz val="10"/>
      <color indexed="9"/>
      <name val="MS Sans Serif"/>
      <family val="2"/>
    </font>
    <font>
      <sz val="10"/>
      <name val="TFF Book"/>
    </font>
    <font>
      <b/>
      <sz val="8"/>
      <name val="Arial"/>
      <family val="2"/>
      <charset val="162"/>
    </font>
    <font>
      <sz val="10"/>
      <name val="MS Sans Serif"/>
      <family val="2"/>
      <charset val="162"/>
    </font>
    <font>
      <sz val="10"/>
      <color indexed="24"/>
      <name val="Arial"/>
      <family val="2"/>
      <charset val="162"/>
    </font>
    <font>
      <sz val="10"/>
      <name val="BERNHARD"/>
    </font>
    <font>
      <sz val="10"/>
      <name val="Helv"/>
    </font>
    <font>
      <sz val="1"/>
      <color indexed="8"/>
      <name val="Courier"/>
      <family val="1"/>
      <charset val="162"/>
    </font>
    <font>
      <sz val="10"/>
      <color indexed="8"/>
      <name val="Arial"/>
      <family val="2"/>
    </font>
    <font>
      <b/>
      <sz val="10"/>
      <color indexed="16"/>
      <name val="Arial"/>
      <family val="2"/>
      <charset val="162"/>
    </font>
    <font>
      <b/>
      <sz val="10"/>
      <color indexed="18"/>
      <name val="Arial"/>
      <family val="2"/>
      <charset val="162"/>
    </font>
    <font>
      <b/>
      <sz val="10"/>
      <color indexed="12"/>
      <name val="Arial"/>
      <family val="2"/>
      <charset val="162"/>
    </font>
    <font>
      <sz val="10"/>
      <color indexed="12"/>
      <name val="Arial"/>
      <family val="2"/>
      <charset val="162"/>
    </font>
    <font>
      <b/>
      <sz val="1"/>
      <color indexed="8"/>
      <name val="Courier"/>
      <family val="1"/>
      <charset val="162"/>
    </font>
    <font>
      <sz val="10"/>
      <name val="MS Sans Serif"/>
      <family val="2"/>
    </font>
    <font>
      <b/>
      <sz val="10"/>
      <color indexed="13"/>
      <name val="MS Sans Serif"/>
      <family val="2"/>
      <charset val="162"/>
    </font>
    <font>
      <sz val="10"/>
      <color indexed="12"/>
      <name val="Times New Roman"/>
      <family val="1"/>
      <charset val="162"/>
    </font>
    <font>
      <b/>
      <sz val="12"/>
      <name val="Arial"/>
      <family val="2"/>
    </font>
    <font>
      <sz val="11"/>
      <name val="Arial"/>
      <family val="2"/>
      <charset val="162"/>
    </font>
    <font>
      <sz val="7"/>
      <name val="Small Fonts"/>
      <family val="2"/>
      <charset val="162"/>
    </font>
    <font>
      <sz val="10"/>
      <color indexed="8"/>
      <name val="Arial"/>
      <family val="2"/>
      <charset val="162"/>
    </font>
    <font>
      <b/>
      <sz val="10"/>
      <name val="Arial"/>
      <family val="2"/>
      <charset val="162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8"/>
      <name val="Arial Tur"/>
      <family val="2"/>
      <charset val="162"/>
    </font>
    <font>
      <b/>
      <sz val="8"/>
      <color theme="1"/>
      <name val="Calibri"/>
      <family val="2"/>
      <charset val="162"/>
      <scheme val="minor"/>
    </font>
    <font>
      <i/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i/>
      <sz val="9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i/>
      <sz val="11"/>
      <name val="Calibri"/>
      <family val="2"/>
      <charset val="162"/>
      <scheme val="minor"/>
    </font>
    <font>
      <b/>
      <i/>
      <sz val="14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i/>
      <sz val="18"/>
      <name val="Calibri"/>
      <family val="2"/>
      <charset val="162"/>
      <scheme val="minor"/>
    </font>
    <font>
      <sz val="10"/>
      <name val="Arial"/>
      <family val="2"/>
      <charset val="162"/>
    </font>
    <font>
      <b/>
      <i/>
      <sz val="12"/>
      <name val="Calibri"/>
      <family val="2"/>
      <charset val="162"/>
      <scheme val="minor"/>
    </font>
    <font>
      <sz val="16"/>
      <color rgb="FFFF0000"/>
      <name val="Calibri"/>
      <family val="2"/>
      <charset val="162"/>
      <scheme val="minor"/>
    </font>
    <font>
      <sz val="10"/>
      <name val="Arial"/>
      <family val="2"/>
      <charset val="162"/>
    </font>
    <font>
      <u/>
      <sz val="10"/>
      <color indexed="12"/>
      <name val="Arial"/>
      <family val="2"/>
      <charset val="162"/>
    </font>
    <font>
      <u/>
      <sz val="10"/>
      <color indexed="36"/>
      <name val="Arial"/>
      <family val="2"/>
      <charset val="162"/>
    </font>
    <font>
      <b/>
      <sz val="12"/>
      <name val="Arial"/>
      <family val="2"/>
      <charset val="162"/>
    </font>
    <font>
      <sz val="10"/>
      <color indexed="19"/>
      <name val="Arial"/>
      <family val="2"/>
    </font>
    <font>
      <sz val="10"/>
      <color indexed="19"/>
      <name val="Arial"/>
      <family val="2"/>
      <charset val="162"/>
    </font>
    <font>
      <b/>
      <sz val="10"/>
      <color indexed="18"/>
      <name val="Arial"/>
      <family val="2"/>
    </font>
    <font>
      <b/>
      <sz val="9"/>
      <name val="Arial"/>
      <family val="2"/>
      <charset val="162"/>
    </font>
    <font>
      <b/>
      <sz val="10"/>
      <name val="MS Sans Serif"/>
      <family val="2"/>
      <charset val="162"/>
    </font>
    <font>
      <b/>
      <sz val="10"/>
      <color indexed="16"/>
      <name val="Arial"/>
      <family val="2"/>
    </font>
    <font>
      <b/>
      <sz val="10"/>
      <color indexed="12"/>
      <name val="Arial"/>
      <family val="2"/>
    </font>
    <font>
      <i/>
      <sz val="12"/>
      <name val="Times New Roman"/>
      <family val="1"/>
      <charset val="162"/>
    </font>
    <font>
      <sz val="10"/>
      <name val="COURIE 17 CPI"/>
    </font>
    <font>
      <sz val="8"/>
      <name val="Arial"/>
      <family val="2"/>
    </font>
    <font>
      <sz val="10"/>
      <color indexed="12"/>
      <name val="Times New Roman"/>
      <family val="1"/>
    </font>
    <font>
      <b/>
      <sz val="18"/>
      <name val="Arial"/>
      <family val="2"/>
      <charset val="162"/>
    </font>
    <font>
      <sz val="14"/>
      <name val="Times New Roman"/>
      <family val="1"/>
      <charset val="162"/>
    </font>
    <font>
      <sz val="10"/>
      <name val="Courier 17cpi"/>
    </font>
    <font>
      <sz val="5"/>
      <name val="CG Times (WT)"/>
      <family val="1"/>
    </font>
    <font>
      <sz val="8"/>
      <name val="Arial"/>
      <family val="2"/>
      <charset val="162"/>
    </font>
    <font>
      <sz val="10"/>
      <name val="Helv"/>
      <charset val="204"/>
    </font>
    <font>
      <sz val="10"/>
      <name val="COUIRE 17 CPI"/>
    </font>
    <font>
      <sz val="10"/>
      <name val="Courier"/>
      <family val="1"/>
      <charset val="162"/>
    </font>
    <font>
      <b/>
      <sz val="1"/>
      <color indexed="17"/>
      <name val="Courier"/>
      <family val="1"/>
      <charset val="162"/>
    </font>
    <font>
      <b/>
      <sz val="1"/>
      <color indexed="10"/>
      <name val="Courier"/>
      <family val="1"/>
      <charset val="162"/>
    </font>
    <font>
      <sz val="12"/>
      <color indexed="8"/>
      <name val="Courier"/>
      <family val="1"/>
      <charset val="162"/>
    </font>
    <font>
      <b/>
      <sz val="18"/>
      <color indexed="8"/>
      <name val="Courier"/>
      <family val="1"/>
      <charset val="162"/>
    </font>
    <font>
      <b/>
      <sz val="12"/>
      <color indexed="8"/>
      <name val="Courier"/>
      <family val="1"/>
      <charset val="162"/>
    </font>
    <font>
      <sz val="11"/>
      <color indexed="8"/>
      <name val="Calibri"/>
      <family val="2"/>
      <charset val="162"/>
    </font>
    <font>
      <b/>
      <sz val="11"/>
      <color theme="1"/>
      <name val="Cambria"/>
      <family val="1"/>
      <charset val="162"/>
      <scheme val="major"/>
    </font>
    <font>
      <sz val="11"/>
      <color theme="1"/>
      <name val="Cambria"/>
      <family val="1"/>
      <charset val="162"/>
      <scheme val="major"/>
    </font>
    <font>
      <sz val="11"/>
      <name val="Cambria"/>
      <family val="1"/>
      <charset val="162"/>
      <scheme val="major"/>
    </font>
    <font>
      <sz val="10"/>
      <color theme="1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8"/>
      <name val="Calibri"/>
      <family val="2"/>
      <charset val="162"/>
      <scheme val="minor"/>
    </font>
    <font>
      <sz val="10"/>
      <name val="Calibri"/>
      <family val="2"/>
      <charset val="162"/>
    </font>
    <font>
      <b/>
      <sz val="11"/>
      <name val="Calibri"/>
      <family val="2"/>
      <charset val="162"/>
    </font>
    <font>
      <b/>
      <sz val="10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8"/>
      </patternFill>
    </fill>
    <fill>
      <patternFill patternType="mediumGray">
        <fgColor indexed="23"/>
        <bgColor indexed="1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lightUp">
        <fgColor indexed="1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8168889431442"/>
        <bgColor rgb="FFDDDDDD"/>
      </patternFill>
    </fill>
    <fill>
      <patternFill patternType="solid">
        <fgColor theme="4" tint="0.79998168889431442"/>
        <bgColor rgb="FFBDD7EE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17"/>
      </left>
      <right/>
      <top style="thin">
        <color indexed="17"/>
      </top>
      <bottom/>
      <diagonal/>
    </border>
    <border>
      <left style="thin">
        <color indexed="17"/>
      </left>
      <right/>
      <top/>
      <bottom style="thin">
        <color indexed="17"/>
      </bottom>
      <diagonal/>
    </border>
    <border>
      <left/>
      <right style="medium">
        <color indexed="3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/>
      <bottom/>
      <diagonal/>
    </border>
    <border>
      <left/>
      <right style="thin">
        <color indexed="1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1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02">
    <xf numFmtId="0" fontId="0" fillId="0" borderId="0"/>
    <xf numFmtId="166" fontId="10" fillId="0" borderId="0" applyFill="0" applyBorder="0" applyAlignment="0">
      <protection hidden="1"/>
    </xf>
    <xf numFmtId="0" fontId="11" fillId="0" borderId="20">
      <alignment horizontal="right" vertical="center"/>
    </xf>
    <xf numFmtId="0" fontId="12" fillId="0" borderId="0"/>
    <xf numFmtId="0" fontId="6" fillId="2" borderId="1" applyNumberFormat="0" applyFont="0" applyFill="0" applyBorder="0" applyAlignment="0"/>
    <xf numFmtId="0" fontId="6" fillId="0" borderId="0">
      <alignment vertical="center"/>
    </xf>
    <xf numFmtId="4" fontId="13" fillId="0" borderId="0"/>
    <xf numFmtId="4" fontId="13" fillId="0" borderId="21"/>
    <xf numFmtId="0" fontId="14" fillId="0" borderId="22">
      <alignment horizontal="left" vertical="center" wrapText="1"/>
    </xf>
    <xf numFmtId="0" fontId="15" fillId="3" borderId="23" applyNumberFormat="0" applyProtection="0">
      <alignment vertical="center"/>
    </xf>
    <xf numFmtId="164" fontId="6" fillId="0" borderId="0" applyFont="0" applyFill="0" applyBorder="0" applyAlignment="0" applyProtection="0"/>
    <xf numFmtId="164" fontId="16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2" fillId="0" borderId="0" applyFill="0" applyBorder="0" applyAlignment="0"/>
    <xf numFmtId="170" fontId="2" fillId="0" borderId="0" applyFill="0" applyBorder="0" applyAlignment="0"/>
    <xf numFmtId="171" fontId="2" fillId="0" borderId="0" applyFill="0" applyBorder="0" applyAlignment="0"/>
    <xf numFmtId="172" fontId="2" fillId="0" borderId="0" applyFill="0" applyBorder="0" applyAlignment="0"/>
    <xf numFmtId="173" fontId="2" fillId="0" borderId="0" applyFill="0" applyBorder="0" applyAlignment="0"/>
    <xf numFmtId="169" fontId="2" fillId="0" borderId="0" applyFill="0" applyBorder="0" applyAlignment="0"/>
    <xf numFmtId="174" fontId="2" fillId="0" borderId="0" applyFill="0" applyBorder="0" applyAlignment="0"/>
    <xf numFmtId="170" fontId="2" fillId="0" borderId="0" applyFill="0" applyBorder="0" applyAlignment="0"/>
    <xf numFmtId="0" fontId="17" fillId="0" borderId="24">
      <alignment horizontal="center"/>
    </xf>
    <xf numFmtId="169" fontId="2" fillId="0" borderId="0" applyFont="0" applyFill="0" applyBorder="0" applyAlignment="0" applyProtection="0"/>
    <xf numFmtId="3" fontId="19" fillId="0" borderId="0" applyFont="0" applyFill="0" applyBorder="0" applyAlignment="0" applyProtection="0"/>
    <xf numFmtId="0" fontId="20" fillId="0" borderId="0"/>
    <xf numFmtId="0" fontId="21" fillId="0" borderId="0"/>
    <xf numFmtId="0" fontId="22" fillId="0" borderId="0">
      <protection locked="0"/>
    </xf>
    <xf numFmtId="0" fontId="20" fillId="0" borderId="0"/>
    <xf numFmtId="0" fontId="21" fillId="0" borderId="0"/>
    <xf numFmtId="170" fontId="2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14" fontId="23" fillId="0" borderId="0" applyFill="0" applyBorder="0" applyAlignment="0"/>
    <xf numFmtId="0" fontId="22" fillId="0" borderId="0">
      <protection locked="0"/>
    </xf>
    <xf numFmtId="0" fontId="24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49" fontId="26" fillId="0" borderId="0" applyFill="0" applyBorder="0" applyProtection="0">
      <alignment vertical="center"/>
    </xf>
    <xf numFmtId="49" fontId="26" fillId="0" borderId="0" applyFill="0" applyBorder="0" applyProtection="0">
      <alignment vertical="top"/>
    </xf>
    <xf numFmtId="3" fontId="26" fillId="0" borderId="0" applyFont="0" applyFill="0" applyBorder="0" applyAlignment="0" applyProtection="0">
      <alignment vertical="center"/>
    </xf>
    <xf numFmtId="49" fontId="26" fillId="0" borderId="25" applyFill="0" applyBorder="0" applyProtection="0"/>
    <xf numFmtId="49" fontId="25" fillId="0" borderId="26" applyFill="0" applyBorder="0" applyProtection="0">
      <alignment vertical="top"/>
    </xf>
    <xf numFmtId="0" fontId="26" fillId="0" borderId="0" applyFill="0" applyBorder="0" applyProtection="0">
      <alignment vertical="center"/>
    </xf>
    <xf numFmtId="0" fontId="27" fillId="0" borderId="27" applyFill="0" applyBorder="0" applyProtection="0">
      <alignment vertical="center"/>
    </xf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0" fontId="22" fillId="0" borderId="0">
      <protection locked="0"/>
    </xf>
    <xf numFmtId="0" fontId="28" fillId="0" borderId="0">
      <protection locked="0"/>
    </xf>
    <xf numFmtId="0" fontId="28" fillId="0" borderId="0">
      <protection locked="0"/>
    </xf>
    <xf numFmtId="169" fontId="2" fillId="0" borderId="0" applyFill="0" applyBorder="0" applyAlignment="0"/>
    <xf numFmtId="170" fontId="2" fillId="0" borderId="0" applyFill="0" applyBorder="0" applyAlignment="0"/>
    <xf numFmtId="169" fontId="2" fillId="0" borderId="0" applyFill="0" applyBorder="0" applyAlignment="0"/>
    <xf numFmtId="174" fontId="2" fillId="0" borderId="0" applyFill="0" applyBorder="0" applyAlignment="0"/>
    <xf numFmtId="170" fontId="2" fillId="0" borderId="0" applyFill="0" applyBorder="0" applyAlignment="0"/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0" fontId="22" fillId="0" borderId="0">
      <protection locked="0"/>
    </xf>
    <xf numFmtId="2" fontId="19" fillId="0" borderId="0" applyFont="0" applyFill="0" applyBorder="0" applyAlignment="0" applyProtection="0"/>
    <xf numFmtId="0" fontId="29" fillId="0" borderId="0" applyProtection="0">
      <alignment horizontal="left"/>
    </xf>
    <xf numFmtId="0" fontId="30" fillId="4" borderId="1" applyNumberFormat="0" applyProtection="0">
      <alignment horizontal="left" vertical="center"/>
    </xf>
    <xf numFmtId="0" fontId="31" fillId="0" borderId="0" applyNumberFormat="0" applyFont="0" applyFill="0" applyAlignment="0" applyProtection="0">
      <alignment vertical="center"/>
    </xf>
    <xf numFmtId="178" fontId="13" fillId="0" borderId="0"/>
    <xf numFmtId="0" fontId="32" fillId="0" borderId="28" applyNumberFormat="0" applyAlignment="0" applyProtection="0">
      <alignment horizontal="left" vertical="center"/>
    </xf>
    <xf numFmtId="0" fontId="32" fillId="0" borderId="29">
      <alignment horizontal="left" vertical="center"/>
    </xf>
    <xf numFmtId="179" fontId="28" fillId="0" borderId="0">
      <protection locked="0"/>
    </xf>
    <xf numFmtId="179" fontId="28" fillId="0" borderId="0">
      <protection locked="0"/>
    </xf>
    <xf numFmtId="0" fontId="6" fillId="0" borderId="0" applyFont="0"/>
    <xf numFmtId="0" fontId="21" fillId="0" borderId="0"/>
    <xf numFmtId="0" fontId="18" fillId="0" borderId="0"/>
    <xf numFmtId="169" fontId="2" fillId="0" borderId="0" applyFill="0" applyBorder="0" applyAlignment="0"/>
    <xf numFmtId="170" fontId="2" fillId="0" borderId="0" applyFill="0" applyBorder="0" applyAlignment="0"/>
    <xf numFmtId="169" fontId="2" fillId="0" borderId="0" applyFill="0" applyBorder="0" applyAlignment="0"/>
    <xf numFmtId="174" fontId="2" fillId="0" borderId="0" applyFill="0" applyBorder="0" applyAlignment="0"/>
    <xf numFmtId="170" fontId="2" fillId="0" borderId="0" applyFill="0" applyBorder="0" applyAlignment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>
      <protection locked="0"/>
    </xf>
    <xf numFmtId="180" fontId="2" fillId="0" borderId="0" applyFont="0" applyFill="0" applyBorder="0" applyAlignment="0" applyProtection="0"/>
    <xf numFmtId="37" fontId="34" fillId="0" borderId="0"/>
    <xf numFmtId="0" fontId="6" fillId="0" borderId="0"/>
    <xf numFmtId="0" fontId="2" fillId="0" borderId="0"/>
    <xf numFmtId="0" fontId="35" fillId="0" borderId="0"/>
    <xf numFmtId="0" fontId="6" fillId="0" borderId="0"/>
    <xf numFmtId="0" fontId="6" fillId="0" borderId="0"/>
    <xf numFmtId="0" fontId="35" fillId="0" borderId="0"/>
    <xf numFmtId="0" fontId="7" fillId="0" borderId="0"/>
    <xf numFmtId="0" fontId="6" fillId="0" borderId="0"/>
    <xf numFmtId="0" fontId="2" fillId="0" borderId="0"/>
    <xf numFmtId="0" fontId="3" fillId="0" borderId="0"/>
    <xf numFmtId="41" fontId="6" fillId="0" borderId="0" applyFont="0" applyFill="0" applyBorder="0" applyAlignment="0" applyProtection="0"/>
    <xf numFmtId="4" fontId="21" fillId="0" borderId="0" applyFont="0" applyFill="0" applyBorder="0" applyAlignment="0" applyProtection="0"/>
    <xf numFmtId="181" fontId="2" fillId="0" borderId="0"/>
    <xf numFmtId="165" fontId="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18" applyBorder="0">
      <alignment horizontal="center"/>
    </xf>
    <xf numFmtId="0" fontId="6" fillId="0" borderId="18" applyBorder="0">
      <alignment horizontal="center"/>
    </xf>
    <xf numFmtId="0" fontId="6" fillId="0" borderId="18" applyBorder="0">
      <alignment horizontal="center"/>
    </xf>
    <xf numFmtId="0" fontId="6" fillId="0" borderId="18" applyBorder="0">
      <alignment horizontal="center"/>
    </xf>
    <xf numFmtId="3" fontId="36" fillId="0" borderId="0"/>
    <xf numFmtId="0" fontId="18" fillId="0" borderId="0">
      <alignment horizontal="left"/>
    </xf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59" fillId="0" borderId="0"/>
    <xf numFmtId="0" fontId="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0" fontId="6" fillId="0" borderId="0"/>
    <xf numFmtId="0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7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7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7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186" fontId="67" fillId="0" borderId="65" applyFill="0" applyBorder="0" applyProtection="0">
      <alignment horizontal="center" vertical="center"/>
    </xf>
    <xf numFmtId="186" fontId="66" fillId="0" borderId="65" applyFill="0" applyBorder="0" applyProtection="0">
      <alignment horizontal="center" vertical="center"/>
    </xf>
    <xf numFmtId="0" fontId="6" fillId="7" borderId="31" applyBorder="0"/>
    <xf numFmtId="0" fontId="6" fillId="7" borderId="31" applyBorder="0"/>
    <xf numFmtId="0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0" fontId="66" fillId="0" borderId="65" applyFill="0" applyBorder="0" applyProtection="0">
      <alignment horizontal="center" vertical="center"/>
    </xf>
    <xf numFmtId="0" fontId="67" fillId="0" borderId="65" applyFill="0" applyBorder="0" applyProtection="0">
      <alignment horizontal="center" vertical="center"/>
    </xf>
    <xf numFmtId="0" fontId="6" fillId="7" borderId="31" applyBorder="0"/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8" fontId="6" fillId="0" borderId="66" applyFill="0" applyBorder="0" applyProtection="0">
      <alignment horizontal="right" vertical="center"/>
    </xf>
    <xf numFmtId="188" fontId="6" fillId="0" borderId="66" applyFill="0" applyBorder="0" applyProtection="0">
      <alignment horizontal="right" vertical="center"/>
    </xf>
    <xf numFmtId="188" fontId="6" fillId="0" borderId="66" applyFill="0" applyBorder="0" applyProtection="0">
      <alignment horizontal="right" vertical="center"/>
    </xf>
    <xf numFmtId="178" fontId="2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7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8" fontId="6" fillId="0" borderId="66" applyFill="0" applyBorder="0" applyProtection="0">
      <alignment horizontal="center" vertical="center"/>
    </xf>
    <xf numFmtId="188" fontId="6" fillId="0" borderId="66" applyFill="0" applyBorder="0" applyProtection="0">
      <alignment horizontal="center" vertical="center"/>
    </xf>
    <xf numFmtId="188" fontId="6" fillId="0" borderId="66" applyFill="0" applyBorder="0" applyProtection="0">
      <alignment horizontal="center" vertical="center"/>
    </xf>
    <xf numFmtId="178" fontId="2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7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187" fontId="66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center" vertical="center"/>
    </xf>
    <xf numFmtId="4" fontId="67" fillId="0" borderId="66" applyFill="0" applyBorder="0" applyProtection="0">
      <alignment horizontal="center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6" fillId="0" borderId="66" applyFill="0" applyBorder="0" applyProtection="0">
      <alignment horizontal="right" vertical="center"/>
    </xf>
    <xf numFmtId="4" fontId="67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7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187" fontId="66" fillId="0" borderId="66" applyFill="0" applyBorder="0" applyProtection="0">
      <alignment horizontal="right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6" fillId="0" borderId="65" applyFill="0" applyBorder="0" applyProtection="0">
      <alignment horizontal="center" vertical="center"/>
    </xf>
    <xf numFmtId="49" fontId="67" fillId="0" borderId="65" applyFill="0" applyBorder="0" applyProtection="0">
      <alignment horizontal="center" vertical="center"/>
    </xf>
    <xf numFmtId="2" fontId="6" fillId="0" borderId="0" applyFill="0" applyBorder="0" applyAlignment="0" applyProtection="0"/>
    <xf numFmtId="189" fontId="68" fillId="0" borderId="0" applyFill="0" applyBorder="0" applyProtection="0">
      <alignment horizontal="right" vertical="center"/>
    </xf>
    <xf numFmtId="190" fontId="69" fillId="0" borderId="67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191" fontId="70" fillId="0" borderId="2" applyAlignment="0" applyProtection="0"/>
    <xf numFmtId="4" fontId="74" fillId="0" borderId="0"/>
    <xf numFmtId="192" fontId="6" fillId="0" borderId="0" applyFill="0" applyBorder="0" applyAlignment="0" applyProtection="0"/>
    <xf numFmtId="0" fontId="18" fillId="0" borderId="0" applyFont="0" applyFill="0" applyBorder="0" applyAlignment="0" applyProtection="0"/>
    <xf numFmtId="193" fontId="6" fillId="0" borderId="0" applyFont="0" applyFill="0" applyBorder="0" applyAlignment="0" applyProtection="0"/>
    <xf numFmtId="194" fontId="6" fillId="0" borderId="0" applyFill="0" applyBorder="0" applyAlignment="0" applyProtection="0"/>
    <xf numFmtId="195" fontId="6" fillId="0" borderId="0" applyFill="0" applyBorder="0" applyAlignment="0" applyProtection="0"/>
    <xf numFmtId="196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97" fontId="6" fillId="0" borderId="0" applyFont="0" applyFill="0" applyBorder="0" applyAlignment="0" applyProtection="0"/>
    <xf numFmtId="198" fontId="6" fillId="0" borderId="0" applyFill="0" applyBorder="0" applyAlignment="0" applyProtection="0"/>
    <xf numFmtId="199" fontId="6" fillId="0" borderId="0" applyFill="0" applyBorder="0" applyAlignment="0" applyProtection="0"/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0" fontId="76" fillId="0" borderId="0" applyNumberFormat="0" applyFont="0" applyFill="0" applyAlignment="0" applyProtection="0">
      <alignment vertical="center"/>
    </xf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0" fontId="24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49" fontId="26" fillId="0" borderId="0" applyFill="0" applyBorder="0" applyProtection="0">
      <alignment vertical="center"/>
    </xf>
    <xf numFmtId="49" fontId="26" fillId="0" borderId="0" applyFill="0" applyBorder="0" applyProtection="0">
      <alignment vertical="top"/>
    </xf>
    <xf numFmtId="3" fontId="26" fillId="0" borderId="0" applyFont="0" applyFill="0" applyBorder="0" applyAlignment="0" applyProtection="0">
      <alignment vertical="center"/>
    </xf>
    <xf numFmtId="49" fontId="26" fillId="0" borderId="25" applyFill="0" applyBorder="0" applyProtection="0"/>
    <xf numFmtId="49" fontId="25" fillId="0" borderId="26" applyFill="0" applyBorder="0" applyProtection="0">
      <alignment vertical="top"/>
    </xf>
    <xf numFmtId="0" fontId="26" fillId="0" borderId="0" applyFill="0" applyBorder="0" applyProtection="0">
      <alignment vertical="center"/>
    </xf>
    <xf numFmtId="0" fontId="27" fillId="0" borderId="68" applyFill="0" applyBorder="0" applyProtection="0">
      <alignment vertical="center"/>
    </xf>
    <xf numFmtId="200" fontId="2" fillId="0" borderId="0" applyFont="0" applyFill="0" applyBorder="0" applyAlignment="0" applyProtection="0"/>
    <xf numFmtId="0" fontId="85" fillId="0" borderId="0">
      <protection locked="0"/>
    </xf>
    <xf numFmtId="0" fontId="86" fillId="0" borderId="0">
      <protection locked="0"/>
    </xf>
    <xf numFmtId="0" fontId="28" fillId="0" borderId="0">
      <protection locked="0"/>
    </xf>
    <xf numFmtId="0" fontId="73" fillId="0" borderId="0" applyProtection="0"/>
    <xf numFmtId="209" fontId="87" fillId="0" borderId="0">
      <protection locked="0"/>
    </xf>
    <xf numFmtId="2" fontId="6" fillId="0" borderId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4" fontId="74" fillId="0" borderId="0"/>
    <xf numFmtId="38" fontId="75" fillId="8" borderId="0" applyNumberFormat="0" applyBorder="0" applyAlignment="0" applyProtection="0"/>
    <xf numFmtId="0" fontId="76" fillId="0" borderId="0" applyNumberFormat="0" applyFont="0" applyFill="0" applyAlignment="0" applyProtection="0">
      <alignment vertical="center"/>
    </xf>
    <xf numFmtId="0" fontId="88" fillId="0" borderId="0">
      <protection locked="0"/>
    </xf>
    <xf numFmtId="0" fontId="89" fillId="0" borderId="0">
      <protection locked="0"/>
    </xf>
    <xf numFmtId="0" fontId="7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8" fillId="0" borderId="0"/>
    <xf numFmtId="0" fontId="63" fillId="0" borderId="0" applyNumberFormat="0" applyFill="0" applyBorder="0" applyAlignment="0" applyProtection="0">
      <alignment vertical="top"/>
      <protection locked="0"/>
    </xf>
    <xf numFmtId="10" fontId="75" fillId="9" borderId="1" applyNumberFormat="0" applyBorder="0" applyAlignment="0" applyProtection="0"/>
    <xf numFmtId="201" fontId="79" fillId="0" borderId="1" applyBorder="0">
      <alignment horizontal="right" vertical="center" wrapText="1"/>
    </xf>
    <xf numFmtId="202" fontId="6" fillId="0" borderId="0" applyFont="0" applyFill="0" applyBorder="0" applyAlignment="0" applyProtection="0"/>
    <xf numFmtId="0" fontId="18" fillId="0" borderId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2" fillId="0" borderId="0"/>
    <xf numFmtId="0" fontId="85" fillId="0" borderId="0">
      <protection locked="0"/>
    </xf>
    <xf numFmtId="0" fontId="6" fillId="0" borderId="0"/>
    <xf numFmtId="0" fontId="7" fillId="0" borderId="0"/>
    <xf numFmtId="0" fontId="6" fillId="0" borderId="0"/>
    <xf numFmtId="0" fontId="80" fillId="0" borderId="0"/>
    <xf numFmtId="165" fontId="6" fillId="0" borderId="0" applyFont="0" applyFill="0" applyBorder="0" applyAlignment="0" applyProtection="0"/>
    <xf numFmtId="10" fontId="6" fillId="0" borderId="0" applyFill="0" applyBorder="0" applyAlignment="0" applyProtection="0"/>
    <xf numFmtId="10" fontId="6" fillId="0" borderId="0" applyFont="0" applyFill="0" applyBorder="0" applyAlignment="0" applyProtection="0"/>
    <xf numFmtId="1" fontId="79" fillId="0" borderId="20" applyProtection="0">
      <alignment horizontal="center"/>
    </xf>
    <xf numFmtId="0" fontId="81" fillId="0" borderId="0"/>
    <xf numFmtId="0" fontId="82" fillId="0" borderId="0"/>
    <xf numFmtId="206" fontId="83" fillId="0" borderId="0"/>
    <xf numFmtId="0" fontId="6" fillId="0" borderId="9" applyNumberFormat="0" applyFill="0" applyAlignment="0" applyProtection="0"/>
    <xf numFmtId="0" fontId="84" fillId="0" borderId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73" fillId="0" borderId="0" applyProtection="0"/>
    <xf numFmtId="0" fontId="28" fillId="0" borderId="0">
      <protection locked="0"/>
    </xf>
    <xf numFmtId="0" fontId="72" fillId="0" borderId="0" applyFill="0" applyBorder="0" applyProtection="0">
      <alignment vertical="center"/>
    </xf>
    <xf numFmtId="0" fontId="86" fillId="0" borderId="0">
      <protection locked="0"/>
    </xf>
    <xf numFmtId="49" fontId="68" fillId="0" borderId="26" applyFill="0" applyBorder="0" applyProtection="0">
      <alignment vertical="top"/>
    </xf>
    <xf numFmtId="0" fontId="85" fillId="0" borderId="0">
      <protection locked="0"/>
    </xf>
    <xf numFmtId="49" fontId="72" fillId="0" borderId="0" applyFill="0" applyBorder="0" applyProtection="0">
      <alignment vertical="top"/>
    </xf>
    <xf numFmtId="49" fontId="72" fillId="0" borderId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0" fontId="71" fillId="0" borderId="0" applyNumberFormat="0" applyFill="0" applyBorder="0" applyProtection="0">
      <alignment vertical="center"/>
    </xf>
    <xf numFmtId="199" fontId="6" fillId="0" borderId="0" applyFill="0" applyBorder="0" applyAlignment="0" applyProtection="0"/>
    <xf numFmtId="198" fontId="6" fillId="0" borderId="0" applyFill="0" applyBorder="0" applyAlignment="0" applyProtection="0"/>
    <xf numFmtId="194" fontId="6" fillId="0" borderId="0" applyFill="0" applyBorder="0" applyAlignment="0" applyProtection="0"/>
    <xf numFmtId="0" fontId="72" fillId="0" borderId="0" applyFill="0" applyBorder="0" applyProtection="0">
      <alignment vertical="center"/>
    </xf>
    <xf numFmtId="49" fontId="68" fillId="0" borderId="26" applyFill="0" applyBorder="0" applyProtection="0">
      <alignment vertical="top"/>
    </xf>
    <xf numFmtId="49" fontId="72" fillId="0" borderId="0" applyFill="0" applyBorder="0" applyProtection="0">
      <alignment vertical="top"/>
    </xf>
    <xf numFmtId="49" fontId="72" fillId="0" borderId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0" fontId="71" fillId="0" borderId="0" applyNumberFormat="0" applyFill="0" applyBorder="0" applyProtection="0">
      <alignment vertical="center"/>
    </xf>
    <xf numFmtId="199" fontId="6" fillId="0" borderId="0" applyFill="0" applyBorder="0" applyAlignment="0" applyProtection="0"/>
    <xf numFmtId="198" fontId="6" fillId="0" borderId="0" applyFill="0" applyBorder="0" applyAlignment="0" applyProtection="0"/>
    <xf numFmtId="194" fontId="6" fillId="0" borderId="0" applyFill="0" applyBorder="0" applyAlignment="0" applyProtection="0"/>
    <xf numFmtId="17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98" fontId="6" fillId="0" borderId="0" applyFill="0" applyBorder="0" applyAlignment="0" applyProtection="0"/>
    <xf numFmtId="199" fontId="6" fillId="0" borderId="0" applyFill="0" applyBorder="0" applyAlignment="0" applyProtection="0"/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198" fontId="6" fillId="0" borderId="0" applyFill="0" applyBorder="0" applyAlignment="0" applyProtection="0"/>
    <xf numFmtId="199" fontId="6" fillId="0" borderId="0" applyFill="0" applyBorder="0" applyAlignment="0" applyProtection="0"/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194" fontId="6" fillId="0" borderId="0" applyFill="0" applyBorder="0" applyAlignment="0" applyProtection="0"/>
    <xf numFmtId="0" fontId="85" fillId="0" borderId="0">
      <protection locked="0"/>
    </xf>
    <xf numFmtId="198" fontId="6" fillId="0" borderId="0" applyFill="0" applyBorder="0" applyAlignment="0" applyProtection="0"/>
    <xf numFmtId="0" fontId="86" fillId="0" borderId="0">
      <protection locked="0"/>
    </xf>
    <xf numFmtId="199" fontId="6" fillId="0" borderId="0" applyFill="0" applyBorder="0" applyAlignment="0" applyProtection="0"/>
    <xf numFmtId="0" fontId="28" fillId="0" borderId="0">
      <protection locked="0"/>
    </xf>
    <xf numFmtId="0" fontId="71" fillId="0" borderId="0" applyNumberFormat="0" applyFill="0" applyBorder="0" applyProtection="0">
      <alignment vertical="center"/>
    </xf>
    <xf numFmtId="0" fontId="73" fillId="0" borderId="0" applyProtection="0"/>
    <xf numFmtId="0" fontId="68" fillId="0" borderId="0" applyNumberFormat="0" applyFill="0" applyBorder="0" applyProtection="0">
      <alignment vertical="center"/>
    </xf>
    <xf numFmtId="2" fontId="6" fillId="0" borderId="0" applyFill="0" applyBorder="0" applyAlignment="0" applyProtection="0"/>
    <xf numFmtId="49" fontId="72" fillId="0" borderId="0" applyFill="0" applyBorder="0" applyProtection="0">
      <alignment vertical="center"/>
    </xf>
    <xf numFmtId="4" fontId="74" fillId="0" borderId="0"/>
    <xf numFmtId="49" fontId="72" fillId="0" borderId="0" applyFill="0" applyBorder="0" applyProtection="0">
      <alignment vertical="top"/>
    </xf>
    <xf numFmtId="0" fontId="76" fillId="0" borderId="0" applyNumberFormat="0" applyFont="0" applyFill="0" applyAlignment="0" applyProtection="0">
      <alignment vertical="center"/>
    </xf>
    <xf numFmtId="0" fontId="85" fillId="0" borderId="0">
      <protection locked="0"/>
    </xf>
    <xf numFmtId="49" fontId="68" fillId="0" borderId="26" applyFill="0" applyBorder="0" applyProtection="0">
      <alignment vertical="top"/>
    </xf>
    <xf numFmtId="0" fontId="86" fillId="0" borderId="0">
      <protection locked="0"/>
    </xf>
    <xf numFmtId="0" fontId="72" fillId="0" borderId="0" applyFill="0" applyBorder="0" applyProtection="0">
      <alignment vertical="center"/>
    </xf>
    <xf numFmtId="0" fontId="28" fillId="0" borderId="0">
      <protection locked="0"/>
    </xf>
    <xf numFmtId="0" fontId="73" fillId="0" borderId="0" applyProtection="0"/>
    <xf numFmtId="2" fontId="6" fillId="0" borderId="0" applyFill="0" applyBorder="0" applyAlignment="0" applyProtection="0"/>
    <xf numFmtId="4" fontId="74" fillId="0" borderId="0"/>
    <xf numFmtId="0" fontId="76" fillId="0" borderId="0" applyNumberFormat="0" applyFont="0" applyFill="0" applyAlignment="0" applyProtection="0">
      <alignment vertical="center"/>
    </xf>
    <xf numFmtId="0" fontId="6" fillId="0" borderId="0"/>
    <xf numFmtId="0" fontId="2" fillId="0" borderId="0"/>
    <xf numFmtId="0" fontId="85" fillId="0" borderId="0">
      <protection locked="0"/>
    </xf>
    <xf numFmtId="0" fontId="86" fillId="0" borderId="0">
      <protection locked="0"/>
    </xf>
    <xf numFmtId="0" fontId="7" fillId="0" borderId="0"/>
    <xf numFmtId="0" fontId="6" fillId="0" borderId="0"/>
    <xf numFmtId="0" fontId="28" fillId="0" borderId="0">
      <protection locked="0"/>
    </xf>
    <xf numFmtId="165" fontId="6" fillId="0" borderId="0" applyFont="0" applyFill="0" applyBorder="0" applyAlignment="0" applyProtection="0"/>
    <xf numFmtId="0" fontId="73" fillId="0" borderId="0" applyProtection="0"/>
    <xf numFmtId="2" fontId="6" fillId="0" borderId="0" applyFill="0" applyBorder="0" applyAlignment="0" applyProtection="0"/>
    <xf numFmtId="0" fontId="86" fillId="0" borderId="0">
      <protection locked="0"/>
    </xf>
    <xf numFmtId="0" fontId="28" fillId="0" borderId="0">
      <protection locked="0"/>
    </xf>
    <xf numFmtId="0" fontId="73" fillId="0" borderId="0" applyProtection="0"/>
    <xf numFmtId="2" fontId="6" fillId="0" borderId="0" applyFill="0" applyBorder="0" applyAlignment="0" applyProtection="0"/>
    <xf numFmtId="0" fontId="6" fillId="0" borderId="0"/>
    <xf numFmtId="4" fontId="74" fillId="0" borderId="0"/>
    <xf numFmtId="0" fontId="76" fillId="0" borderId="0" applyNumberFormat="0" applyFont="0" applyFill="0" applyAlignment="0" applyProtection="0">
      <alignment vertical="center"/>
    </xf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4" fontId="74" fillId="0" borderId="0"/>
    <xf numFmtId="0" fontId="76" fillId="0" borderId="0" applyNumberFormat="0" applyFont="0" applyFill="0" applyAlignment="0" applyProtection="0">
      <alignment vertical="center"/>
    </xf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2" fillId="0" borderId="0"/>
    <xf numFmtId="0" fontId="76" fillId="0" borderId="0" applyNumberFormat="0" applyFont="0" applyFill="0" applyAlignment="0" applyProtection="0">
      <alignment vertical="center"/>
    </xf>
    <xf numFmtId="4" fontId="74" fillId="0" borderId="0"/>
    <xf numFmtId="2" fontId="6" fillId="0" borderId="0" applyFill="0" applyBorder="0" applyAlignment="0" applyProtection="0"/>
    <xf numFmtId="0" fontId="73" fillId="0" borderId="0" applyProtection="0"/>
    <xf numFmtId="0" fontId="28" fillId="0" borderId="0">
      <protection locked="0"/>
    </xf>
    <xf numFmtId="0" fontId="86" fillId="0" borderId="0">
      <protection locked="0"/>
    </xf>
    <xf numFmtId="0" fontId="85" fillId="0" borderId="0">
      <protection locked="0"/>
    </xf>
    <xf numFmtId="0" fontId="72" fillId="0" borderId="0" applyFill="0" applyBorder="0" applyProtection="0">
      <alignment vertical="center"/>
    </xf>
    <xf numFmtId="49" fontId="68" fillId="0" borderId="26" applyFill="0" applyBorder="0" applyProtection="0">
      <alignment vertical="top"/>
    </xf>
    <xf numFmtId="49" fontId="72" fillId="0" borderId="0" applyFill="0" applyBorder="0" applyProtection="0">
      <alignment vertical="top"/>
    </xf>
    <xf numFmtId="49" fontId="72" fillId="0" borderId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0" fontId="71" fillId="0" borderId="0" applyNumberFormat="0" applyFill="0" applyBorder="0" applyProtection="0">
      <alignment vertical="center"/>
    </xf>
    <xf numFmtId="199" fontId="6" fillId="0" borderId="0" applyFill="0" applyBorder="0" applyAlignment="0" applyProtection="0"/>
    <xf numFmtId="198" fontId="6" fillId="0" borderId="0" applyFill="0" applyBorder="0" applyAlignment="0" applyProtection="0"/>
    <xf numFmtId="194" fontId="6" fillId="0" borderId="0" applyFill="0" applyBorder="0" applyAlignment="0" applyProtection="0"/>
    <xf numFmtId="17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43" fontId="6" fillId="0" borderId="0" applyFont="0" applyFill="0" applyBorder="0" applyAlignment="0" applyProtection="0"/>
    <xf numFmtId="185" fontId="90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94" fontId="6" fillId="0" borderId="0" applyFill="0" applyBorder="0" applyAlignment="0" applyProtection="0"/>
    <xf numFmtId="194" fontId="6" fillId="0" borderId="0" applyFill="0" applyBorder="0" applyAlignment="0" applyProtection="0"/>
    <xf numFmtId="198" fontId="6" fillId="0" borderId="0" applyFill="0" applyBorder="0" applyAlignment="0" applyProtection="0"/>
    <xf numFmtId="199" fontId="6" fillId="0" borderId="0" applyFill="0" applyBorder="0" applyAlignment="0" applyProtection="0"/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198" fontId="6" fillId="0" borderId="0" applyFill="0" applyBorder="0" applyAlignment="0" applyProtection="0"/>
    <xf numFmtId="199" fontId="6" fillId="0" borderId="0" applyFill="0" applyBorder="0" applyAlignment="0" applyProtection="0"/>
    <xf numFmtId="0" fontId="71" fillId="0" borderId="0" applyNumberFormat="0" applyFill="0" applyBorder="0" applyProtection="0">
      <alignment vertical="center"/>
    </xf>
    <xf numFmtId="0" fontId="68" fillId="0" borderId="0" applyNumberFormat="0" applyFill="0" applyBorder="0" applyProtection="0">
      <alignment vertical="center"/>
    </xf>
    <xf numFmtId="49" fontId="72" fillId="0" borderId="0" applyFill="0" applyBorder="0" applyProtection="0">
      <alignment vertical="center"/>
    </xf>
    <xf numFmtId="49" fontId="72" fillId="0" borderId="0" applyFill="0" applyBorder="0" applyProtection="0">
      <alignment vertical="top"/>
    </xf>
    <xf numFmtId="49" fontId="68" fillId="0" borderId="26" applyFill="0" applyBorder="0" applyProtection="0">
      <alignment vertical="top"/>
    </xf>
    <xf numFmtId="0" fontId="72" fillId="0" borderId="0" applyFill="0" applyBorder="0" applyProtection="0">
      <alignment vertical="center"/>
    </xf>
    <xf numFmtId="0" fontId="85" fillId="0" borderId="0">
      <protection locked="0"/>
    </xf>
    <xf numFmtId="0" fontId="86" fillId="0" borderId="0">
      <protection locked="0"/>
    </xf>
    <xf numFmtId="0" fontId="28" fillId="0" borderId="0">
      <protection locked="0"/>
    </xf>
    <xf numFmtId="0" fontId="73" fillId="0" borderId="0" applyProtection="0"/>
    <xf numFmtId="2" fontId="6" fillId="0" borderId="0" applyFill="0" applyBorder="0" applyAlignment="0" applyProtection="0"/>
    <xf numFmtId="4" fontId="74" fillId="0" borderId="0"/>
    <xf numFmtId="0" fontId="76" fillId="0" borderId="0" applyNumberFormat="0" applyFont="0" applyFill="0" applyAlignment="0" applyProtection="0">
      <alignment vertical="center"/>
    </xf>
    <xf numFmtId="0" fontId="85" fillId="0" borderId="0">
      <protection locked="0"/>
    </xf>
    <xf numFmtId="0" fontId="86" fillId="0" borderId="0">
      <protection locked="0"/>
    </xf>
    <xf numFmtId="0" fontId="28" fillId="0" borderId="0">
      <protection locked="0"/>
    </xf>
    <xf numFmtId="0" fontId="73" fillId="0" borderId="0" applyProtection="0"/>
    <xf numFmtId="2" fontId="6" fillId="0" borderId="0" applyFill="0" applyBorder="0" applyAlignment="0" applyProtection="0"/>
    <xf numFmtId="4" fontId="74" fillId="0" borderId="0"/>
    <xf numFmtId="0" fontId="6" fillId="0" borderId="0"/>
    <xf numFmtId="0" fontId="76" fillId="0" borderId="0" applyNumberFormat="0" applyFont="0" applyFill="0" applyAlignment="0" applyProtection="0">
      <alignment vertical="center"/>
    </xf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2" fillId="0" borderId="0"/>
    <xf numFmtId="0" fontId="6" fillId="0" borderId="0"/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2" fillId="0" borderId="0"/>
    <xf numFmtId="0" fontId="6" fillId="0" borderId="0"/>
    <xf numFmtId="0" fontId="2" fillId="0" borderId="0"/>
    <xf numFmtId="0" fontId="7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2" fillId="0" borderId="0"/>
  </cellStyleXfs>
  <cellXfs count="785">
    <xf numFmtId="0" fontId="0" fillId="0" borderId="0" xfId="0"/>
    <xf numFmtId="0" fontId="4" fillId="0" borderId="11" xfId="0" applyFont="1" applyBorder="1"/>
    <xf numFmtId="0" fontId="38" fillId="0" borderId="0" xfId="0" applyFont="1"/>
    <xf numFmtId="0" fontId="9" fillId="0" borderId="11" xfId="95" applyFont="1" applyBorder="1" applyAlignment="1" applyProtection="1">
      <alignment vertical="center"/>
      <protection locked="0"/>
    </xf>
    <xf numFmtId="0" fontId="42" fillId="0" borderId="0" xfId="95" applyFont="1" applyAlignment="1">
      <alignment vertical="center"/>
    </xf>
    <xf numFmtId="0" fontId="42" fillId="0" borderId="0" xfId="95" applyFont="1"/>
    <xf numFmtId="0" fontId="42" fillId="0" borderId="12" xfId="95" applyFont="1" applyBorder="1"/>
    <xf numFmtId="0" fontId="9" fillId="0" borderId="17" xfId="95" applyFont="1" applyBorder="1" applyAlignment="1" applyProtection="1">
      <alignment vertical="center"/>
      <protection locked="0"/>
    </xf>
    <xf numFmtId="0" fontId="42" fillId="0" borderId="18" xfId="95" applyFont="1" applyBorder="1" applyAlignment="1" applyProtection="1">
      <alignment vertical="center"/>
      <protection locked="0"/>
    </xf>
    <xf numFmtId="3" fontId="42" fillId="0" borderId="18" xfId="95" applyNumberFormat="1" applyFont="1" applyBorder="1" applyProtection="1">
      <protection locked="0"/>
    </xf>
    <xf numFmtId="0" fontId="2" fillId="0" borderId="18" xfId="95" applyBorder="1" applyProtection="1">
      <protection locked="0"/>
    </xf>
    <xf numFmtId="3" fontId="42" fillId="0" borderId="18" xfId="95" applyNumberFormat="1" applyFont="1" applyBorder="1" applyAlignment="1" applyProtection="1">
      <alignment vertical="center"/>
      <protection locked="0"/>
    </xf>
    <xf numFmtId="3" fontId="42" fillId="0" borderId="19" xfId="95" applyNumberFormat="1" applyFont="1" applyBorder="1" applyAlignment="1" applyProtection="1">
      <alignment vertical="center"/>
      <protection locked="0"/>
    </xf>
    <xf numFmtId="0" fontId="9" fillId="0" borderId="0" xfId="95" applyFont="1" applyAlignment="1">
      <alignment vertical="center"/>
    </xf>
    <xf numFmtId="0" fontId="9" fillId="0" borderId="18" xfId="95" applyFont="1" applyBorder="1" applyAlignment="1" applyProtection="1">
      <alignment vertical="center"/>
      <protection locked="0"/>
    </xf>
    <xf numFmtId="0" fontId="38" fillId="0" borderId="29" xfId="0" applyFont="1" applyBorder="1" applyAlignment="1">
      <alignment vertical="center"/>
    </xf>
    <xf numFmtId="0" fontId="38" fillId="0" borderId="32" xfId="0" applyFont="1" applyBorder="1" applyAlignment="1">
      <alignment vertical="center"/>
    </xf>
    <xf numFmtId="0" fontId="42" fillId="0" borderId="12" xfId="95" applyFont="1" applyBorder="1" applyAlignment="1">
      <alignment vertical="center"/>
    </xf>
    <xf numFmtId="0" fontId="38" fillId="0" borderId="10" xfId="0" applyFont="1" applyBorder="1" applyAlignment="1">
      <alignment horizontal="left" vertical="center"/>
    </xf>
    <xf numFmtId="0" fontId="0" fillId="0" borderId="12" xfId="0" applyBorder="1"/>
    <xf numFmtId="0" fontId="38" fillId="0" borderId="12" xfId="0" applyFont="1" applyBorder="1"/>
    <xf numFmtId="14" fontId="0" fillId="0" borderId="0" xfId="0" applyNumberFormat="1"/>
    <xf numFmtId="0" fontId="0" fillId="0" borderId="11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7" fillId="0" borderId="0" xfId="110" applyFont="1" applyProtection="1">
      <protection locked="0"/>
    </xf>
    <xf numFmtId="0" fontId="1" fillId="0" borderId="0" xfId="0" applyFont="1"/>
    <xf numFmtId="14" fontId="0" fillId="0" borderId="0" xfId="0" applyNumberForma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7" fillId="0" borderId="11" xfId="0" applyFont="1" applyBorder="1"/>
    <xf numFmtId="0" fontId="7" fillId="0" borderId="0" xfId="0" applyFont="1"/>
    <xf numFmtId="0" fontId="0" fillId="0" borderId="0" xfId="0" applyAlignment="1">
      <alignment vertical="center"/>
    </xf>
    <xf numFmtId="0" fontId="37" fillId="0" borderId="0" xfId="0" applyFont="1"/>
    <xf numFmtId="0" fontId="54" fillId="0" borderId="0" xfId="110" applyFont="1" applyAlignment="1" applyProtection="1">
      <alignment horizontal="right" vertical="center"/>
      <protection locked="0"/>
    </xf>
    <xf numFmtId="0" fontId="54" fillId="0" borderId="0" xfId="110" applyFont="1" applyProtection="1">
      <protection locked="0"/>
    </xf>
    <xf numFmtId="0" fontId="49" fillId="0" borderId="0" xfId="110" applyFont="1" applyAlignment="1" applyProtection="1">
      <alignment horizontal="left" vertical="center"/>
      <protection locked="0"/>
    </xf>
    <xf numFmtId="0" fontId="49" fillId="0" borderId="0" xfId="110" applyFont="1" applyAlignment="1" applyProtection="1">
      <alignment vertical="center"/>
      <protection locked="0"/>
    </xf>
    <xf numFmtId="4" fontId="0" fillId="0" borderId="0" xfId="0" applyNumberFormat="1"/>
    <xf numFmtId="4" fontId="4" fillId="0" borderId="12" xfId="0" applyNumberFormat="1" applyFont="1" applyBorder="1"/>
    <xf numFmtId="0" fontId="0" fillId="0" borderId="1" xfId="0" applyBorder="1"/>
    <xf numFmtId="4" fontId="0" fillId="0" borderId="37" xfId="0" applyNumberFormat="1" applyBorder="1"/>
    <xf numFmtId="182" fontId="0" fillId="0" borderId="37" xfId="0" applyNumberFormat="1" applyBorder="1"/>
    <xf numFmtId="0" fontId="0" fillId="0" borderId="36" xfId="0" applyBorder="1" applyAlignment="1">
      <alignment horizontal="right"/>
    </xf>
    <xf numFmtId="0" fontId="1" fillId="0" borderId="36" xfId="0" applyFont="1" applyBorder="1" applyAlignment="1">
      <alignment horizontal="right"/>
    </xf>
    <xf numFmtId="182" fontId="1" fillId="0" borderId="37" xfId="0" applyNumberFormat="1" applyFont="1" applyBorder="1"/>
    <xf numFmtId="0" fontId="0" fillId="0" borderId="11" xfId="0" applyBorder="1" applyAlignment="1">
      <alignment horizontal="right"/>
    </xf>
    <xf numFmtId="182" fontId="0" fillId="0" borderId="12" xfId="0" applyNumberFormat="1" applyBorder="1"/>
    <xf numFmtId="0" fontId="0" fillId="0" borderId="15" xfId="0" applyBorder="1" applyAlignment="1">
      <alignment horizontal="right"/>
    </xf>
    <xf numFmtId="4" fontId="0" fillId="0" borderId="40" xfId="0" applyNumberFormat="1" applyBorder="1"/>
    <xf numFmtId="0" fontId="0" fillId="0" borderId="1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0" fontId="0" fillId="0" borderId="0" xfId="0" applyNumberFormat="1"/>
    <xf numFmtId="0" fontId="0" fillId="0" borderId="18" xfId="0" applyBorder="1" applyAlignment="1">
      <alignment horizontal="center"/>
    </xf>
    <xf numFmtId="4" fontId="0" fillId="0" borderId="12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4" fontId="0" fillId="0" borderId="19" xfId="0" applyNumberFormat="1" applyBorder="1" applyAlignment="1">
      <alignment horizontal="center"/>
    </xf>
    <xf numFmtId="0" fontId="38" fillId="0" borderId="24" xfId="0" applyFont="1" applyBorder="1" applyAlignment="1">
      <alignment horizontal="center" vertical="center" wrapText="1"/>
    </xf>
    <xf numFmtId="0" fontId="94" fillId="0" borderId="1" xfId="0" applyFont="1" applyBorder="1" applyAlignment="1">
      <alignment vertical="top" wrapText="1"/>
    </xf>
    <xf numFmtId="4" fontId="94" fillId="0" borderId="1" xfId="0" applyNumberFormat="1" applyFont="1" applyBorder="1" applyAlignment="1">
      <alignment horizontal="right" vertical="center" wrapText="1"/>
    </xf>
    <xf numFmtId="0" fontId="94" fillId="0" borderId="1" xfId="0" applyFont="1" applyBorder="1" applyAlignment="1">
      <alignment horizontal="right" vertical="center" wrapText="1"/>
    </xf>
    <xf numFmtId="4" fontId="8" fillId="0" borderId="32" xfId="0" applyNumberFormat="1" applyFont="1" applyBorder="1" applyAlignment="1">
      <alignment horizontal="right" vertical="center"/>
    </xf>
    <xf numFmtId="3" fontId="94" fillId="0" borderId="1" xfId="0" applyNumberFormat="1" applyFont="1" applyBorder="1" applyAlignment="1">
      <alignment horizontal="right" vertical="center" wrapText="1"/>
    </xf>
    <xf numFmtId="0" fontId="95" fillId="0" borderId="1" xfId="0" applyFont="1" applyBorder="1" applyAlignment="1">
      <alignment horizontal="right" vertical="center" wrapText="1"/>
    </xf>
    <xf numFmtId="4" fontId="96" fillId="0" borderId="32" xfId="0" applyNumberFormat="1" applyFont="1" applyBorder="1" applyAlignment="1">
      <alignment horizontal="right" vertical="center"/>
    </xf>
    <xf numFmtId="0" fontId="38" fillId="0" borderId="1" xfId="0" applyFont="1" applyBorder="1" applyAlignment="1">
      <alignment horizontal="center" vertical="center" wrapText="1"/>
    </xf>
    <xf numFmtId="0" fontId="94" fillId="0" borderId="1" xfId="0" applyFont="1" applyBorder="1" applyAlignment="1">
      <alignment vertical="center" wrapText="1"/>
    </xf>
    <xf numFmtId="0" fontId="95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96" fillId="0" borderId="29" xfId="500" applyFont="1" applyBorder="1" applyAlignment="1">
      <alignment horizontal="center" vertical="center" wrapText="1"/>
    </xf>
    <xf numFmtId="0" fontId="0" fillId="6" borderId="70" xfId="0" applyFill="1" applyBorder="1"/>
    <xf numFmtId="0" fontId="0" fillId="6" borderId="0" xfId="0" applyFill="1"/>
    <xf numFmtId="0" fontId="0" fillId="6" borderId="70" xfId="0" applyFill="1" applyBorder="1" applyAlignment="1">
      <alignment vertical="top"/>
    </xf>
    <xf numFmtId="0" fontId="0" fillId="6" borderId="0" xfId="0" applyFill="1" applyAlignment="1">
      <alignment vertical="top"/>
    </xf>
    <xf numFmtId="0" fontId="0" fillId="6" borderId="71" xfId="0" applyFill="1" applyBorder="1" applyAlignment="1">
      <alignment vertical="top"/>
    </xf>
    <xf numFmtId="0" fontId="0" fillId="6" borderId="22" xfId="0" applyFill="1" applyBorder="1" applyAlignment="1">
      <alignment vertical="top"/>
    </xf>
    <xf numFmtId="0" fontId="38" fillId="0" borderId="75" xfId="0" applyFont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 wrapText="1"/>
    </xf>
    <xf numFmtId="0" fontId="37" fillId="0" borderId="75" xfId="0" applyFont="1" applyBorder="1" applyAlignment="1">
      <alignment horizontal="center" vertical="center"/>
    </xf>
    <xf numFmtId="210" fontId="94" fillId="0" borderId="79" xfId="0" applyNumberFormat="1" applyFont="1" applyBorder="1" applyAlignment="1">
      <alignment horizontal="right" vertical="center"/>
    </xf>
    <xf numFmtId="210" fontId="95" fillId="0" borderId="79" xfId="0" applyNumberFormat="1" applyFont="1" applyBorder="1" applyAlignment="1">
      <alignment horizontal="right" vertical="center"/>
    </xf>
    <xf numFmtId="0" fontId="37" fillId="0" borderId="75" xfId="0" applyFont="1" applyBorder="1" applyAlignment="1">
      <alignment horizontal="center"/>
    </xf>
    <xf numFmtId="0" fontId="37" fillId="0" borderId="80" xfId="0" applyFont="1" applyBorder="1" applyAlignment="1">
      <alignment horizontal="center"/>
    </xf>
    <xf numFmtId="0" fontId="94" fillId="0" borderId="50" xfId="0" applyFont="1" applyBorder="1" applyAlignment="1">
      <alignment vertical="top" wrapText="1"/>
    </xf>
    <xf numFmtId="0" fontId="8" fillId="0" borderId="50" xfId="0" applyFont="1" applyBorder="1" applyAlignment="1">
      <alignment vertical="top" wrapText="1"/>
    </xf>
    <xf numFmtId="0" fontId="94" fillId="0" borderId="50" xfId="0" applyFont="1" applyBorder="1" applyAlignment="1">
      <alignment horizontal="right" vertical="center" wrapText="1"/>
    </xf>
    <xf numFmtId="4" fontId="8" fillId="0" borderId="91" xfId="0" applyNumberFormat="1" applyFont="1" applyBorder="1" applyAlignment="1">
      <alignment horizontal="right" vertical="center"/>
    </xf>
    <xf numFmtId="210" fontId="94" fillId="0" borderId="92" xfId="0" applyNumberFormat="1" applyFont="1" applyBorder="1" applyAlignment="1">
      <alignment horizontal="right" vertical="center"/>
    </xf>
    <xf numFmtId="0" fontId="1" fillId="0" borderId="24" xfId="0" applyFont="1" applyBorder="1" applyAlignment="1">
      <alignment horizontal="center"/>
    </xf>
    <xf numFmtId="0" fontId="0" fillId="0" borderId="70" xfId="0" applyBorder="1"/>
    <xf numFmtId="0" fontId="0" fillId="6" borderId="76" xfId="0" applyFill="1" applyBorder="1"/>
    <xf numFmtId="0" fontId="0" fillId="6" borderId="76" xfId="0" applyFill="1" applyBorder="1" applyAlignment="1">
      <alignment vertical="top"/>
    </xf>
    <xf numFmtId="0" fontId="0" fillId="6" borderId="81" xfId="0" applyFill="1" applyBorder="1" applyAlignment="1">
      <alignment vertical="top"/>
    </xf>
    <xf numFmtId="0" fontId="4" fillId="6" borderId="41" xfId="0" applyFont="1" applyFill="1" applyBorder="1" applyAlignment="1">
      <alignment vertical="center"/>
    </xf>
    <xf numFmtId="0" fontId="4" fillId="6" borderId="41" xfId="0" applyFont="1" applyFill="1" applyBorder="1" applyAlignment="1">
      <alignment vertical="top"/>
    </xf>
    <xf numFmtId="0" fontId="4" fillId="6" borderId="18" xfId="0" applyFont="1" applyFill="1" applyBorder="1" applyAlignment="1">
      <alignment vertical="top"/>
    </xf>
    <xf numFmtId="0" fontId="4" fillId="6" borderId="42" xfId="0" applyFont="1" applyFill="1" applyBorder="1" applyAlignment="1">
      <alignment vertical="top"/>
    </xf>
    <xf numFmtId="0" fontId="4" fillId="6" borderId="0" xfId="0" applyFont="1" applyFill="1" applyAlignment="1">
      <alignment vertical="top"/>
    </xf>
    <xf numFmtId="0" fontId="4" fillId="6" borderId="0" xfId="0" applyFont="1" applyFill="1" applyAlignment="1">
      <alignment vertical="center"/>
    </xf>
    <xf numFmtId="0" fontId="0" fillId="0" borderId="96" xfId="0" applyBorder="1"/>
    <xf numFmtId="0" fontId="4" fillId="6" borderId="96" xfId="0" applyFont="1" applyFill="1" applyBorder="1" applyAlignment="1">
      <alignment vertical="center"/>
    </xf>
    <xf numFmtId="0" fontId="4" fillId="6" borderId="96" xfId="0" applyFont="1" applyFill="1" applyBorder="1" applyAlignment="1">
      <alignment vertical="top"/>
    </xf>
    <xf numFmtId="0" fontId="4" fillId="6" borderId="100" xfId="0" applyFont="1" applyFill="1" applyBorder="1" applyAlignment="1">
      <alignment vertical="top"/>
    </xf>
    <xf numFmtId="0" fontId="4" fillId="0" borderId="0" xfId="0" applyFont="1"/>
    <xf numFmtId="0" fontId="1" fillId="0" borderId="102" xfId="0" applyFont="1" applyBorder="1" applyAlignment="1">
      <alignment horizontal="center"/>
    </xf>
    <xf numFmtId="4" fontId="0" fillId="0" borderId="19" xfId="0" applyNumberFormat="1" applyBorder="1"/>
    <xf numFmtId="0" fontId="5" fillId="0" borderId="11" xfId="0" applyFont="1" applyBorder="1"/>
    <xf numFmtId="0" fontId="5" fillId="0" borderId="0" xfId="0" applyFont="1"/>
    <xf numFmtId="0" fontId="48" fillId="0" borderId="11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7" fillId="0" borderId="11" xfId="0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37" fillId="0" borderId="12" xfId="0" applyFont="1" applyBorder="1" applyAlignment="1">
      <alignment horizontal="left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 vertical="center"/>
    </xf>
    <xf numFmtId="0" fontId="0" fillId="0" borderId="3" xfId="0" applyBorder="1"/>
    <xf numFmtId="0" fontId="0" fillId="0" borderId="14" xfId="0" applyBorder="1"/>
    <xf numFmtId="0" fontId="49" fillId="0" borderId="11" xfId="501" applyFont="1" applyBorder="1" applyAlignment="1">
      <alignment horizontal="left" wrapText="1"/>
    </xf>
    <xf numFmtId="0" fontId="49" fillId="0" borderId="11" xfId="501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vertical="center"/>
    </xf>
    <xf numFmtId="0" fontId="1" fillId="0" borderId="2" xfId="0" applyFont="1" applyBorder="1"/>
    <xf numFmtId="0" fontId="1" fillId="0" borderId="16" xfId="0" applyFont="1" applyBorder="1"/>
    <xf numFmtId="49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vertical="center"/>
    </xf>
    <xf numFmtId="0" fontId="100" fillId="0" borderId="1" xfId="0" applyFont="1" applyBorder="1" applyAlignment="1">
      <alignment horizontal="left" vertical="center"/>
    </xf>
    <xf numFmtId="0" fontId="100" fillId="0" borderId="1" xfId="0" applyFont="1" applyBorder="1" applyAlignment="1">
      <alignment horizontal="right" vertical="center"/>
    </xf>
    <xf numFmtId="4" fontId="100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vertical="center"/>
    </xf>
    <xf numFmtId="49" fontId="49" fillId="0" borderId="11" xfId="501" applyNumberFormat="1" applyFont="1" applyBorder="1" applyAlignment="1">
      <alignment horizontal="right" vertical="center" wrapText="1"/>
    </xf>
    <xf numFmtId="14" fontId="1" fillId="0" borderId="0" xfId="0" applyNumberFormat="1" applyFont="1" applyAlignment="1">
      <alignment vertical="center"/>
    </xf>
    <xf numFmtId="4" fontId="0" fillId="0" borderId="0" xfId="0" applyNumberFormat="1" applyAlignment="1">
      <alignment horizontal="center" vertical="center"/>
    </xf>
    <xf numFmtId="0" fontId="100" fillId="0" borderId="1" xfId="0" applyFont="1" applyBorder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2" fontId="0" fillId="0" borderId="1" xfId="0" applyNumberFormat="1" applyBorder="1" applyAlignment="1">
      <alignment vertical="center"/>
    </xf>
    <xf numFmtId="182" fontId="1" fillId="0" borderId="40" xfId="0" applyNumberFormat="1" applyFont="1" applyBorder="1"/>
    <xf numFmtId="213" fontId="100" fillId="0" borderId="1" xfId="0" applyNumberFormat="1" applyFont="1" applyBorder="1" applyAlignment="1">
      <alignment horizontal="right" vertical="center"/>
    </xf>
    <xf numFmtId="213" fontId="0" fillId="0" borderId="1" xfId="0" applyNumberFormat="1" applyBorder="1" applyAlignment="1">
      <alignment horizontal="right" vertical="center"/>
    </xf>
    <xf numFmtId="0" fontId="37" fillId="0" borderId="0" xfId="0" applyFont="1" applyAlignment="1">
      <alignment vertical="center"/>
    </xf>
    <xf numFmtId="0" fontId="101" fillId="10" borderId="1" xfId="0" applyFont="1" applyFill="1" applyBorder="1" applyAlignment="1">
      <alignment horizontal="center" vertical="center"/>
    </xf>
    <xf numFmtId="0" fontId="102" fillId="11" borderId="1" xfId="0" applyFont="1" applyFill="1" applyBorder="1" applyAlignment="1">
      <alignment horizontal="center" vertical="center"/>
    </xf>
    <xf numFmtId="212" fontId="102" fillId="11" borderId="1" xfId="0" applyNumberFormat="1" applyFont="1" applyFill="1" applyBorder="1" applyAlignment="1">
      <alignment horizontal="center" vertical="center"/>
    </xf>
    <xf numFmtId="211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79" xfId="0" applyBorder="1" applyAlignment="1">
      <alignment horizontal="center"/>
    </xf>
    <xf numFmtId="214" fontId="37" fillId="5" borderId="50" xfId="0" applyNumberFormat="1" applyFont="1" applyFill="1" applyBorder="1" applyAlignment="1">
      <alignment horizontal="center" vertical="center"/>
    </xf>
    <xf numFmtId="0" fontId="0" fillId="0" borderId="50" xfId="0" applyBorder="1" applyAlignment="1">
      <alignment horizontal="center"/>
    </xf>
    <xf numFmtId="0" fontId="0" fillId="0" borderId="92" xfId="0" applyBorder="1" applyAlignment="1">
      <alignment horizontal="center"/>
    </xf>
    <xf numFmtId="0" fontId="41" fillId="0" borderId="75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4" fontId="37" fillId="5" borderId="80" xfId="0" applyNumberFormat="1" applyFont="1" applyFill="1" applyBorder="1" applyAlignment="1">
      <alignment horizontal="center" vertical="center"/>
    </xf>
    <xf numFmtId="4" fontId="37" fillId="5" borderId="50" xfId="0" applyNumberFormat="1" applyFont="1" applyFill="1" applyBorder="1" applyAlignment="1">
      <alignment horizontal="center" vertical="center"/>
    </xf>
    <xf numFmtId="0" fontId="38" fillId="0" borderId="4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8" fillId="0" borderId="78" xfId="0" applyFont="1" applyBorder="1" applyAlignment="1">
      <alignment horizontal="center" vertical="center" wrapText="1"/>
    </xf>
    <xf numFmtId="0" fontId="38" fillId="0" borderId="77" xfId="0" applyFont="1" applyBorder="1" applyAlignment="1">
      <alignment horizontal="center" vertical="center" wrapText="1"/>
    </xf>
    <xf numFmtId="0" fontId="0" fillId="5" borderId="107" xfId="0" applyFill="1" applyBorder="1" applyAlignment="1">
      <alignment horizontal="center"/>
    </xf>
    <xf numFmtId="0" fontId="0" fillId="5" borderId="108" xfId="0" applyFill="1" applyBorder="1" applyAlignment="1">
      <alignment horizontal="center"/>
    </xf>
    <xf numFmtId="0" fontId="0" fillId="5" borderId="109" xfId="0" applyFill="1" applyBorder="1" applyAlignment="1">
      <alignment horizontal="center"/>
    </xf>
    <xf numFmtId="0" fontId="0" fillId="5" borderId="110" xfId="0" applyFill="1" applyBorder="1" applyAlignment="1">
      <alignment horizontal="center"/>
    </xf>
    <xf numFmtId="0" fontId="38" fillId="0" borderId="90" xfId="0" applyFont="1" applyBorder="1" applyAlignment="1">
      <alignment horizontal="center" vertical="center" wrapText="1"/>
    </xf>
    <xf numFmtId="0" fontId="38" fillId="0" borderId="88" xfId="0" applyFont="1" applyBorder="1" applyAlignment="1">
      <alignment horizontal="center" vertical="center" wrapText="1"/>
    </xf>
    <xf numFmtId="182" fontId="0" fillId="5" borderId="1" xfId="0" applyNumberFormat="1" applyFill="1" applyBorder="1" applyAlignment="1">
      <alignment horizontal="left" wrapText="1"/>
    </xf>
    <xf numFmtId="182" fontId="0" fillId="5" borderId="79" xfId="0" applyNumberFormat="1" applyFill="1" applyBorder="1" applyAlignment="1">
      <alignment horizontal="left" wrapText="1"/>
    </xf>
    <xf numFmtId="14" fontId="0" fillId="5" borderId="1" xfId="0" applyNumberFormat="1" applyFill="1" applyBorder="1" applyAlignment="1">
      <alignment horizontal="left" wrapText="1"/>
    </xf>
    <xf numFmtId="14" fontId="0" fillId="5" borderId="79" xfId="0" applyNumberFormat="1" applyFill="1" applyBorder="1" applyAlignment="1">
      <alignment horizontal="left" wrapText="1"/>
    </xf>
    <xf numFmtId="49" fontId="0" fillId="5" borderId="1" xfId="0" applyNumberFormat="1" applyFill="1" applyBorder="1" applyAlignment="1">
      <alignment horizontal="left" wrapText="1"/>
    </xf>
    <xf numFmtId="49" fontId="0" fillId="5" borderId="79" xfId="0" applyNumberFormat="1" applyFill="1" applyBorder="1" applyAlignment="1">
      <alignment horizontal="left" wrapText="1"/>
    </xf>
    <xf numFmtId="10" fontId="0" fillId="0" borderId="1" xfId="0" applyNumberFormat="1" applyBorder="1" applyAlignment="1">
      <alignment horizontal="left" wrapText="1"/>
    </xf>
    <xf numFmtId="10" fontId="0" fillId="0" borderId="79" xfId="0" applyNumberFormat="1" applyBorder="1" applyAlignment="1">
      <alignment horizontal="left" wrapText="1"/>
    </xf>
    <xf numFmtId="182" fontId="0" fillId="0" borderId="1" xfId="0" applyNumberFormat="1" applyBorder="1" applyAlignment="1">
      <alignment horizontal="left" wrapText="1"/>
    </xf>
    <xf numFmtId="182" fontId="0" fillId="0" borderId="79" xfId="0" applyNumberFormat="1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  <xf numFmtId="14" fontId="0" fillId="0" borderId="79" xfId="0" applyNumberFormat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5" borderId="79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79" xfId="0" applyBorder="1" applyAlignment="1">
      <alignment horizontal="left" wrapText="1"/>
    </xf>
    <xf numFmtId="0" fontId="0" fillId="0" borderId="73" xfId="0" applyBorder="1" applyAlignment="1">
      <alignment horizontal="center" vertical="center" wrapText="1"/>
    </xf>
    <xf numFmtId="0" fontId="0" fillId="0" borderId="106" xfId="0" applyBorder="1" applyAlignment="1">
      <alignment horizontal="center" vertical="center" wrapText="1"/>
    </xf>
    <xf numFmtId="183" fontId="0" fillId="0" borderId="1" xfId="0" applyNumberFormat="1" applyBorder="1" applyAlignment="1">
      <alignment horizontal="left" wrapText="1"/>
    </xf>
    <xf numFmtId="183" fontId="0" fillId="0" borderId="79" xfId="0" applyNumberFormat="1" applyBorder="1" applyAlignment="1">
      <alignment horizontal="left" wrapText="1"/>
    </xf>
    <xf numFmtId="0" fontId="1" fillId="0" borderId="8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1" fillId="0" borderId="7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72" xfId="0" applyFont="1" applyBorder="1" applyAlignment="1">
      <alignment horizontal="right" vertical="center"/>
    </xf>
    <xf numFmtId="0" fontId="1" fillId="0" borderId="73" xfId="0" applyFont="1" applyBorder="1" applyAlignment="1">
      <alignment horizontal="right" vertical="center"/>
    </xf>
    <xf numFmtId="0" fontId="1" fillId="0" borderId="75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0" fillId="6" borderId="69" xfId="0" applyFill="1" applyBorder="1" applyAlignment="1">
      <alignment horizontal="center"/>
    </xf>
    <xf numFmtId="0" fontId="0" fillId="6" borderId="47" xfId="0" applyFill="1" applyBorder="1" applyAlignment="1">
      <alignment horizontal="center"/>
    </xf>
    <xf numFmtId="0" fontId="0" fillId="6" borderId="74" xfId="0" applyFill="1" applyBorder="1" applyAlignment="1">
      <alignment horizontal="center"/>
    </xf>
    <xf numFmtId="4" fontId="0" fillId="0" borderId="55" xfId="0" applyNumberFormat="1" applyBorder="1" applyAlignment="1">
      <alignment horizontal="center" vertical="center"/>
    </xf>
    <xf numFmtId="4" fontId="0" fillId="0" borderId="20" xfId="0" applyNumberFormat="1" applyBorder="1" applyAlignment="1">
      <alignment horizontal="center" vertical="center"/>
    </xf>
    <xf numFmtId="4" fontId="0" fillId="0" borderId="52" xfId="0" applyNumberFormat="1" applyBorder="1" applyAlignment="1">
      <alignment horizontal="center" vertical="center"/>
    </xf>
    <xf numFmtId="4" fontId="0" fillId="0" borderId="56" xfId="0" applyNumberFormat="1" applyBorder="1" applyAlignment="1">
      <alignment horizontal="center" vertical="center"/>
    </xf>
    <xf numFmtId="4" fontId="0" fillId="0" borderId="48" xfId="0" applyNumberFormat="1" applyBorder="1" applyAlignment="1">
      <alignment horizontal="center" vertical="center"/>
    </xf>
    <xf numFmtId="4" fontId="0" fillId="0" borderId="53" xfId="0" applyNumberFormat="1" applyBorder="1" applyAlignment="1">
      <alignment horizontal="center" vertical="center"/>
    </xf>
    <xf numFmtId="3" fontId="0" fillId="0" borderId="55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52" xfId="0" applyNumberForma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3" fontId="0" fillId="0" borderId="58" xfId="0" applyNumberFormat="1" applyBorder="1" applyAlignment="1">
      <alignment horizontal="center" vertical="center"/>
    </xf>
    <xf numFmtId="3" fontId="0" fillId="0" borderId="57" xfId="0" applyNumberFormat="1" applyBorder="1" applyAlignment="1">
      <alignment horizontal="center" vertical="center"/>
    </xf>
    <xf numFmtId="3" fontId="0" fillId="0" borderId="49" xfId="0" applyNumberFormat="1" applyBorder="1" applyAlignment="1">
      <alignment horizontal="center" vertical="center"/>
    </xf>
    <xf numFmtId="3" fontId="0" fillId="0" borderId="59" xfId="0" applyNumberFormat="1" applyBorder="1" applyAlignment="1">
      <alignment horizontal="center" vertical="center"/>
    </xf>
    <xf numFmtId="3" fontId="0" fillId="0" borderId="21" xfId="0" applyNumberFormat="1" applyBorder="1" applyAlignment="1">
      <alignment horizontal="center" vertical="center"/>
    </xf>
    <xf numFmtId="3" fontId="0" fillId="0" borderId="60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3" fontId="0" fillId="0" borderId="3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" fontId="0" fillId="0" borderId="58" xfId="0" applyNumberFormat="1" applyBorder="1" applyAlignment="1">
      <alignment horizontal="center" vertical="center"/>
    </xf>
    <xf numFmtId="4" fontId="0" fillId="0" borderId="57" xfId="0" applyNumberFormat="1" applyBorder="1" applyAlignment="1">
      <alignment horizontal="center" vertical="center"/>
    </xf>
    <xf numFmtId="4" fontId="0" fillId="0" borderId="86" xfId="0" applyNumberFormat="1" applyBorder="1" applyAlignment="1">
      <alignment horizontal="center" vertical="center"/>
    </xf>
    <xf numFmtId="4" fontId="0" fillId="0" borderId="59" xfId="0" applyNumberFormat="1" applyBorder="1" applyAlignment="1">
      <alignment horizontal="center" vertical="center"/>
    </xf>
    <xf numFmtId="4" fontId="0" fillId="0" borderId="21" xfId="0" applyNumberFormat="1" applyBorder="1" applyAlignment="1">
      <alignment horizontal="center" vertical="center"/>
    </xf>
    <xf numFmtId="4" fontId="0" fillId="0" borderId="85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56" xfId="0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0" fillId="0" borderId="53" xfId="0" applyNumberFormat="1" applyBorder="1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4" fontId="0" fillId="0" borderId="29" xfId="0" applyNumberFormat="1" applyBorder="1" applyAlignment="1">
      <alignment horizontal="center" vertical="center"/>
    </xf>
    <xf numFmtId="4" fontId="0" fillId="0" borderId="89" xfId="0" applyNumberFormat="1" applyBorder="1" applyAlignment="1">
      <alignment horizontal="center" vertical="center"/>
    </xf>
    <xf numFmtId="0" fontId="61" fillId="0" borderId="0" xfId="0" applyFont="1" applyAlignment="1">
      <alignment horizontal="left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4" fontId="0" fillId="0" borderId="61" xfId="0" applyNumberFormat="1" applyBorder="1" applyAlignment="1">
      <alignment horizontal="center" vertical="center"/>
    </xf>
    <xf numFmtId="4" fontId="0" fillId="0" borderId="47" xfId="0" applyNumberFormat="1" applyBorder="1" applyAlignment="1">
      <alignment horizontal="center" vertical="center"/>
    </xf>
    <xf numFmtId="4" fontId="0" fillId="0" borderId="74" xfId="0" applyNumberFormat="1" applyBorder="1" applyAlignment="1">
      <alignment horizontal="center" vertical="center"/>
    </xf>
    <xf numFmtId="4" fontId="0" fillId="0" borderId="63" xfId="0" applyNumberFormat="1" applyBorder="1" applyAlignment="1">
      <alignment horizontal="center" vertical="center"/>
    </xf>
    <xf numFmtId="4" fontId="0" fillId="0" borderId="22" xfId="0" applyNumberFormat="1" applyBorder="1" applyAlignment="1">
      <alignment horizontal="center" vertical="center"/>
    </xf>
    <xf numFmtId="4" fontId="0" fillId="0" borderId="81" xfId="0" applyNumberFormat="1" applyBorder="1" applyAlignment="1">
      <alignment horizontal="center" vertical="center"/>
    </xf>
    <xf numFmtId="4" fontId="0" fillId="0" borderId="62" xfId="0" applyNumberFormat="1" applyBorder="1" applyAlignment="1">
      <alignment horizontal="center" vertical="center"/>
    </xf>
    <xf numFmtId="4" fontId="0" fillId="0" borderId="60" xfId="0" applyNumberFormat="1" applyBorder="1" applyAlignment="1">
      <alignment horizontal="center" vertical="center"/>
    </xf>
    <xf numFmtId="0" fontId="1" fillId="0" borderId="94" xfId="0" applyFont="1" applyBorder="1" applyAlignment="1">
      <alignment horizontal="center"/>
    </xf>
    <xf numFmtId="4" fontId="0" fillId="0" borderId="6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4" fontId="0" fillId="0" borderId="77" xfId="0" applyNumberFormat="1" applyBorder="1" applyAlignment="1">
      <alignment horizontal="center" vertical="center"/>
    </xf>
    <xf numFmtId="3" fontId="0" fillId="5" borderId="61" xfId="0" applyNumberFormat="1" applyFill="1" applyBorder="1" applyAlignment="1">
      <alignment horizontal="center" vertical="center"/>
    </xf>
    <xf numFmtId="3" fontId="0" fillId="5" borderId="47" xfId="0" applyNumberFormat="1" applyFill="1" applyBorder="1" applyAlignment="1">
      <alignment horizontal="center" vertical="center"/>
    </xf>
    <xf numFmtId="3" fontId="0" fillId="5" borderId="62" xfId="0" applyNumberFormat="1" applyFill="1" applyBorder="1" applyAlignment="1">
      <alignment horizontal="center" vertical="center"/>
    </xf>
    <xf numFmtId="3" fontId="0" fillId="5" borderId="59" xfId="0" applyNumberFormat="1" applyFill="1" applyBorder="1" applyAlignment="1">
      <alignment horizontal="center" vertical="center"/>
    </xf>
    <xf numFmtId="3" fontId="0" fillId="5" borderId="21" xfId="0" applyNumberFormat="1" applyFill="1" applyBorder="1" applyAlignment="1">
      <alignment horizontal="center" vertical="center"/>
    </xf>
    <xf numFmtId="3" fontId="0" fillId="5" borderId="60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41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8" fillId="0" borderId="82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 wrapText="1"/>
    </xf>
    <xf numFmtId="0" fontId="38" fillId="0" borderId="80" xfId="0" applyFont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3" fontId="0" fillId="5" borderId="63" xfId="0" applyNumberFormat="1" applyFill="1" applyBorder="1" applyAlignment="1">
      <alignment horizontal="center" vertical="center"/>
    </xf>
    <xf numFmtId="3" fontId="0" fillId="5" borderId="22" xfId="0" applyNumberFormat="1" applyFill="1" applyBorder="1" applyAlignment="1">
      <alignment horizontal="center" vertical="center"/>
    </xf>
    <xf numFmtId="3" fontId="0" fillId="5" borderId="64" xfId="0" applyNumberFormat="1" applyFill="1" applyBorder="1" applyAlignment="1">
      <alignment horizontal="center" vertical="center"/>
    </xf>
    <xf numFmtId="0" fontId="52" fillId="0" borderId="61" xfId="0" applyFont="1" applyBorder="1" applyAlignment="1">
      <alignment horizontal="center" vertical="center"/>
    </xf>
    <xf numFmtId="0" fontId="52" fillId="0" borderId="47" xfId="0" applyFont="1" applyBorder="1" applyAlignment="1">
      <alignment horizontal="center" vertical="center"/>
    </xf>
    <xf numFmtId="0" fontId="52" fillId="0" borderId="74" xfId="0" applyFont="1" applyBorder="1" applyAlignment="1">
      <alignment horizontal="center" vertical="center"/>
    </xf>
    <xf numFmtId="0" fontId="52" fillId="0" borderId="30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0" borderId="76" xfId="0" applyFont="1" applyBorder="1" applyAlignment="1">
      <alignment horizontal="center" vertical="center"/>
    </xf>
    <xf numFmtId="0" fontId="52" fillId="0" borderId="6" xfId="0" applyFont="1" applyBorder="1" applyAlignment="1">
      <alignment horizontal="center" vertical="center"/>
    </xf>
    <xf numFmtId="0" fontId="52" fillId="0" borderId="3" xfId="0" applyFont="1" applyBorder="1" applyAlignment="1">
      <alignment horizontal="center" vertical="center"/>
    </xf>
    <xf numFmtId="0" fontId="52" fillId="0" borderId="77" xfId="0" applyFont="1" applyBorder="1" applyAlignment="1">
      <alignment horizontal="center" vertical="center"/>
    </xf>
    <xf numFmtId="0" fontId="52" fillId="0" borderId="4" xfId="0" applyFont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2" fillId="0" borderId="5" xfId="0" applyFont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0" fontId="52" fillId="0" borderId="7" xfId="0" applyFont="1" applyBorder="1" applyAlignment="1">
      <alignment horizontal="center" vertical="center"/>
    </xf>
    <xf numFmtId="0" fontId="52" fillId="0" borderId="78" xfId="0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5" fillId="0" borderId="5" xfId="0" applyFont="1" applyBorder="1" applyAlignment="1">
      <alignment horizontal="center" vertical="center" wrapText="1"/>
    </xf>
    <xf numFmtId="0" fontId="55" fillId="0" borderId="6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55" fillId="0" borderId="7" xfId="0" applyFont="1" applyBorder="1" applyAlignment="1">
      <alignment horizontal="center" vertical="center" wrapText="1"/>
    </xf>
    <xf numFmtId="4" fontId="0" fillId="0" borderId="64" xfId="0" applyNumberFormat="1" applyBorder="1" applyAlignment="1">
      <alignment horizontal="center" vertical="center"/>
    </xf>
    <xf numFmtId="0" fontId="52" fillId="0" borderId="62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51" fillId="0" borderId="72" xfId="0" applyFont="1" applyBorder="1" applyAlignment="1">
      <alignment horizontal="center"/>
    </xf>
    <xf numFmtId="0" fontId="51" fillId="0" borderId="73" xfId="0" applyFont="1" applyBorder="1" applyAlignment="1">
      <alignment horizontal="center"/>
    </xf>
    <xf numFmtId="0" fontId="51" fillId="0" borderId="75" xfId="0" applyFont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3" fillId="0" borderId="73" xfId="0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55" fillId="0" borderId="61" xfId="0" applyFont="1" applyBorder="1" applyAlignment="1">
      <alignment horizontal="center" vertical="center" wrapText="1"/>
    </xf>
    <xf numFmtId="0" fontId="55" fillId="0" borderId="47" xfId="0" applyFont="1" applyBorder="1" applyAlignment="1">
      <alignment horizontal="center" vertical="center" wrapText="1"/>
    </xf>
    <xf numFmtId="0" fontId="55" fillId="0" borderId="62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5" fillId="0" borderId="41" xfId="0" applyFont="1" applyBorder="1" applyAlignment="1">
      <alignment horizontal="center" vertical="center" wrapText="1"/>
    </xf>
    <xf numFmtId="0" fontId="58" fillId="0" borderId="1" xfId="0" applyFont="1" applyBorder="1" applyAlignment="1">
      <alignment horizontal="center" vertical="center" wrapText="1"/>
    </xf>
    <xf numFmtId="0" fontId="1" fillId="0" borderId="7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6" borderId="7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76" xfId="0" applyFill="1" applyBorder="1" applyAlignment="1">
      <alignment horizontal="center"/>
    </xf>
    <xf numFmtId="0" fontId="0" fillId="0" borderId="69" xfId="0" applyBorder="1" applyAlignment="1">
      <alignment horizontal="center" vertical="top" wrapText="1"/>
    </xf>
    <xf numFmtId="0" fontId="0" fillId="0" borderId="47" xfId="0" applyBorder="1" applyAlignment="1">
      <alignment horizontal="center" vertical="top" wrapText="1"/>
    </xf>
    <xf numFmtId="0" fontId="0" fillId="0" borderId="74" xfId="0" applyBorder="1" applyAlignment="1">
      <alignment horizontal="center" vertical="top" wrapText="1"/>
    </xf>
    <xf numFmtId="0" fontId="0" fillId="0" borderId="7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76" xfId="0" applyBorder="1" applyAlignment="1">
      <alignment horizontal="center" vertical="top" wrapText="1"/>
    </xf>
    <xf numFmtId="0" fontId="0" fillId="0" borderId="71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81" xfId="0" applyBorder="1" applyAlignment="1">
      <alignment horizontal="center" vertical="top" wrapText="1"/>
    </xf>
    <xf numFmtId="0" fontId="0" fillId="6" borderId="70" xfId="0" applyFill="1" applyBorder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0" fillId="6" borderId="76" xfId="0" applyFill="1" applyBorder="1" applyAlignment="1">
      <alignment horizontal="center" vertical="top"/>
    </xf>
    <xf numFmtId="0" fontId="0" fillId="6" borderId="71" xfId="0" applyFill="1" applyBorder="1" applyAlignment="1">
      <alignment horizontal="center" vertical="top"/>
    </xf>
    <xf numFmtId="0" fontId="0" fillId="6" borderId="22" xfId="0" applyFill="1" applyBorder="1" applyAlignment="1">
      <alignment horizontal="center" vertical="top"/>
    </xf>
    <xf numFmtId="0" fontId="0" fillId="6" borderId="81" xfId="0" applyFill="1" applyBorder="1" applyAlignment="1">
      <alignment horizontal="center" vertical="top"/>
    </xf>
    <xf numFmtId="0" fontId="1" fillId="0" borderId="7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90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70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41" xfId="0" applyFont="1" applyBorder="1" applyAlignment="1">
      <alignment horizontal="center" vertical="center" textRotation="90"/>
    </xf>
    <xf numFmtId="0" fontId="1" fillId="0" borderId="88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0" fillId="0" borderId="83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7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7" xfId="0" applyFont="1" applyBorder="1" applyAlignment="1">
      <alignment horizontal="center" vertical="center" wrapText="1"/>
    </xf>
    <xf numFmtId="0" fontId="1" fillId="0" borderId="79" xfId="0" applyFont="1" applyBorder="1" applyAlignment="1">
      <alignment horizontal="center" vertical="center" wrapText="1"/>
    </xf>
    <xf numFmtId="0" fontId="0" fillId="0" borderId="69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1" fillId="0" borderId="0" xfId="0" applyFont="1" applyAlignment="1">
      <alignment horizontal="left"/>
    </xf>
    <xf numFmtId="0" fontId="48" fillId="0" borderId="8" xfId="0" applyFont="1" applyBorder="1" applyAlignment="1">
      <alignment horizontal="center" vertical="center" wrapText="1"/>
    </xf>
    <xf numFmtId="0" fontId="48" fillId="0" borderId="9" xfId="0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12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/>
    </xf>
    <xf numFmtId="0" fontId="50" fillId="0" borderId="0" xfId="0" applyFont="1" applyAlignment="1">
      <alignment horizontal="center"/>
    </xf>
    <xf numFmtId="0" fontId="50" fillId="0" borderId="12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4" fontId="0" fillId="0" borderId="0" xfId="0" applyNumberFormat="1" applyAlignment="1">
      <alignment horizontal="left"/>
    </xf>
    <xf numFmtId="4" fontId="0" fillId="0" borderId="12" xfId="0" applyNumberFormat="1" applyBorder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12" xfId="0" applyNumberFormat="1" applyBorder="1" applyAlignment="1">
      <alignment horizontal="left"/>
    </xf>
    <xf numFmtId="0" fontId="5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47" fillId="0" borderId="36" xfId="110" applyFont="1" applyBorder="1" applyAlignment="1" applyProtection="1">
      <alignment horizontal="left" vertical="center"/>
      <protection locked="0"/>
    </xf>
    <xf numFmtId="0" fontId="47" fillId="0" borderId="1" xfId="110" applyFont="1" applyBorder="1" applyAlignment="1" applyProtection="1">
      <alignment horizontal="left" vertical="center"/>
      <protection locked="0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37" xfId="0" applyBorder="1" applyAlignment="1">
      <alignment horizontal="left"/>
    </xf>
    <xf numFmtId="0" fontId="49" fillId="0" borderId="11" xfId="110" applyFont="1" applyBorder="1" applyAlignment="1" applyProtection="1">
      <alignment horizontal="center"/>
      <protection locked="0"/>
    </xf>
    <xf numFmtId="0" fontId="49" fillId="0" borderId="0" xfId="110" applyFont="1" applyAlignment="1" applyProtection="1">
      <alignment horizontal="center"/>
      <protection locked="0"/>
    </xf>
    <xf numFmtId="0" fontId="49" fillId="0" borderId="0" xfId="110" applyFont="1" applyAlignment="1" applyProtection="1">
      <alignment horizontal="left"/>
      <protection locked="0"/>
    </xf>
    <xf numFmtId="0" fontId="49" fillId="0" borderId="0" xfId="110" applyFont="1" applyAlignment="1" applyProtection="1">
      <alignment horizontal="center" wrapText="1"/>
      <protection locked="0"/>
    </xf>
    <xf numFmtId="14" fontId="49" fillId="0" borderId="0" xfId="110" applyNumberFormat="1" applyFont="1" applyAlignment="1" applyProtection="1">
      <alignment horizontal="left"/>
      <protection locked="0"/>
    </xf>
    <xf numFmtId="0" fontId="0" fillId="0" borderId="103" xfId="0" applyBorder="1" applyAlignment="1">
      <alignment horizontal="center" vertical="top" wrapText="1"/>
    </xf>
    <xf numFmtId="0" fontId="0" fillId="0" borderId="104" xfId="0" applyBorder="1" applyAlignment="1">
      <alignment horizontal="center" vertical="top" wrapText="1"/>
    </xf>
    <xf numFmtId="0" fontId="0" fillId="0" borderId="101" xfId="0" applyBorder="1" applyAlignment="1">
      <alignment horizontal="center"/>
    </xf>
    <xf numFmtId="0" fontId="0" fillId="0" borderId="10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14" fontId="0" fillId="0" borderId="30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/>
    </xf>
    <xf numFmtId="14" fontId="0" fillId="0" borderId="30" xfId="0" applyNumberFormat="1" applyBorder="1" applyAlignment="1">
      <alignment horizontal="center" vertical="top"/>
    </xf>
    <xf numFmtId="14" fontId="0" fillId="0" borderId="12" xfId="0" applyNumberFormat="1" applyBorder="1" applyAlignment="1">
      <alignment horizontal="center" vertical="top"/>
    </xf>
    <xf numFmtId="14" fontId="0" fillId="0" borderId="43" xfId="0" applyNumberFormat="1" applyBorder="1" applyAlignment="1">
      <alignment horizontal="center" vertical="top"/>
    </xf>
    <xf numFmtId="14" fontId="0" fillId="0" borderId="19" xfId="0" applyNumberFormat="1" applyBorder="1" applyAlignment="1">
      <alignment horizontal="center" vertical="top"/>
    </xf>
    <xf numFmtId="0" fontId="1" fillId="0" borderId="31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0" fillId="0" borderId="36" xfId="0" applyBorder="1" applyAlignment="1">
      <alignment horizontal="right" vertical="center"/>
    </xf>
    <xf numFmtId="0" fontId="0" fillId="0" borderId="1" xfId="0" applyBorder="1" applyAlignment="1">
      <alignment horizontal="left" vertical="center" wrapText="1"/>
    </xf>
    <xf numFmtId="0" fontId="1" fillId="0" borderId="36" xfId="0" applyFont="1" applyBorder="1" applyAlignment="1">
      <alignment horizontal="center" vertical="center" textRotation="90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6" borderId="1" xfId="0" applyFill="1" applyBorder="1" applyAlignment="1">
      <alignment horizontal="left"/>
    </xf>
    <xf numFmtId="0" fontId="41" fillId="0" borderId="36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1" fillId="0" borderId="31" xfId="0" applyFont="1" applyBorder="1" applyAlignment="1">
      <alignment horizontal="left" vertical="center" wrapText="1"/>
    </xf>
    <xf numFmtId="0" fontId="41" fillId="0" borderId="29" xfId="0" applyFont="1" applyBorder="1" applyAlignment="1">
      <alignment horizontal="left" vertical="center" wrapText="1"/>
    </xf>
    <xf numFmtId="0" fontId="41" fillId="0" borderId="32" xfId="0" applyFont="1" applyBorder="1" applyAlignment="1">
      <alignment horizontal="left" vertical="center" wrapText="1"/>
    </xf>
    <xf numFmtId="4" fontId="41" fillId="0" borderId="1" xfId="0" applyNumberFormat="1" applyFont="1" applyBorder="1" applyAlignment="1">
      <alignment horizontal="center" vertical="center" wrapText="1"/>
    </xf>
    <xf numFmtId="10" fontId="44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41" fillId="0" borderId="32" xfId="0" applyFont="1" applyBorder="1" applyAlignment="1">
      <alignment horizontal="center" vertical="center"/>
    </xf>
    <xf numFmtId="0" fontId="41" fillId="0" borderId="31" xfId="0" applyFont="1" applyBorder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4" fontId="41" fillId="0" borderId="31" xfId="0" applyNumberFormat="1" applyFont="1" applyBorder="1" applyAlignment="1">
      <alignment horizontal="center" vertical="center" wrapText="1"/>
    </xf>
    <xf numFmtId="4" fontId="41" fillId="0" borderId="29" xfId="0" applyNumberFormat="1" applyFont="1" applyBorder="1" applyAlignment="1">
      <alignment horizontal="center" vertical="center" wrapText="1"/>
    </xf>
    <xf numFmtId="4" fontId="41" fillId="0" borderId="32" xfId="0" applyNumberFormat="1" applyFont="1" applyBorder="1" applyAlignment="1">
      <alignment horizontal="center" vertical="center" wrapText="1"/>
    </xf>
    <xf numFmtId="10" fontId="44" fillId="0" borderId="31" xfId="0" applyNumberFormat="1" applyFont="1" applyBorder="1" applyAlignment="1">
      <alignment horizontal="center" vertical="center" wrapText="1"/>
    </xf>
    <xf numFmtId="10" fontId="44" fillId="0" borderId="29" xfId="0" applyNumberFormat="1" applyFont="1" applyBorder="1" applyAlignment="1">
      <alignment horizontal="center" vertical="center" wrapText="1"/>
    </xf>
    <xf numFmtId="10" fontId="44" fillId="0" borderId="32" xfId="0" applyNumberFormat="1" applyFont="1" applyBorder="1" applyAlignment="1">
      <alignment horizontal="center" vertical="center" wrapText="1"/>
    </xf>
    <xf numFmtId="10" fontId="44" fillId="0" borderId="40" xfId="0" applyNumberFormat="1" applyFont="1" applyBorder="1" applyAlignment="1">
      <alignment horizontal="center" vertical="center" wrapText="1"/>
    </xf>
    <xf numFmtId="4" fontId="41" fillId="6" borderId="0" xfId="0" applyNumberFormat="1" applyFont="1" applyFill="1" applyAlignment="1">
      <alignment horizontal="center" vertical="center"/>
    </xf>
    <xf numFmtId="0" fontId="41" fillId="6" borderId="0" xfId="0" applyFont="1" applyFill="1" applyAlignment="1">
      <alignment horizontal="center" vertical="center"/>
    </xf>
    <xf numFmtId="4" fontId="41" fillId="6" borderId="0" xfId="0" applyNumberFormat="1" applyFont="1" applyFill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12" xfId="0" applyFont="1" applyBorder="1" applyAlignment="1">
      <alignment horizontal="center" vertical="center" wrapText="1"/>
    </xf>
    <xf numFmtId="0" fontId="41" fillId="6" borderId="0" xfId="0" applyFont="1" applyFill="1" applyAlignment="1">
      <alignment horizontal="center" vertical="center" wrapText="1"/>
    </xf>
    <xf numFmtId="0" fontId="41" fillId="6" borderId="12" xfId="0" applyFont="1" applyFill="1" applyBorder="1" applyAlignment="1">
      <alignment horizontal="center" vertical="center" wrapText="1"/>
    </xf>
    <xf numFmtId="14" fontId="39" fillId="6" borderId="11" xfId="0" applyNumberFormat="1" applyFont="1" applyFill="1" applyBorder="1" applyAlignment="1">
      <alignment horizontal="center" vertical="center"/>
    </xf>
    <xf numFmtId="14" fontId="39" fillId="6" borderId="0" xfId="0" applyNumberFormat="1" applyFont="1" applyFill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43" fillId="0" borderId="0" xfId="0" applyNumberFormat="1" applyFont="1" applyAlignment="1">
      <alignment horizontal="center" vertical="center" wrapText="1"/>
    </xf>
    <xf numFmtId="4" fontId="41" fillId="0" borderId="0" xfId="0" applyNumberFormat="1" applyFont="1" applyAlignment="1">
      <alignment horizontal="center" vertical="center" wrapText="1"/>
    </xf>
    <xf numFmtId="0" fontId="38" fillId="0" borderId="39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1" fillId="0" borderId="37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right" vertical="center"/>
    </xf>
    <xf numFmtId="0" fontId="41" fillId="0" borderId="29" xfId="0" applyFont="1" applyBorder="1" applyAlignment="1">
      <alignment horizontal="right" vertical="center"/>
    </xf>
    <xf numFmtId="0" fontId="41" fillId="0" borderId="32" xfId="0" applyFont="1" applyBorder="1" applyAlignment="1">
      <alignment horizontal="right" vertical="center"/>
    </xf>
    <xf numFmtId="0" fontId="43" fillId="0" borderId="36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 wrapText="1"/>
    </xf>
    <xf numFmtId="0" fontId="43" fillId="0" borderId="37" xfId="0" applyFont="1" applyBorder="1" applyAlignment="1">
      <alignment horizontal="center" vertical="center" wrapText="1"/>
    </xf>
    <xf numFmtId="14" fontId="39" fillId="0" borderId="1" xfId="0" applyNumberFormat="1" applyFont="1" applyBorder="1" applyAlignment="1">
      <alignment horizontal="center"/>
    </xf>
    <xf numFmtId="14" fontId="39" fillId="0" borderId="37" xfId="0" applyNumberFormat="1" applyFont="1" applyBorder="1" applyAlignment="1">
      <alignment horizontal="center"/>
    </xf>
    <xf numFmtId="0" fontId="39" fillId="0" borderId="1" xfId="0" applyFont="1" applyBorder="1" applyAlignment="1">
      <alignment horizontal="center"/>
    </xf>
    <xf numFmtId="0" fontId="39" fillId="0" borderId="37" xfId="0" applyFont="1" applyBorder="1" applyAlignment="1">
      <alignment horizontal="center"/>
    </xf>
    <xf numFmtId="0" fontId="39" fillId="0" borderId="36" xfId="0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41" fillId="0" borderId="1" xfId="0" applyFont="1" applyBorder="1" applyAlignment="1">
      <alignment horizontal="center"/>
    </xf>
    <xf numFmtId="14" fontId="41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40" fillId="0" borderId="37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37" xfId="0" applyFont="1" applyBorder="1" applyAlignment="1">
      <alignment horizontal="center"/>
    </xf>
    <xf numFmtId="0" fontId="41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7" fillId="0" borderId="37" xfId="0" applyFont="1" applyBorder="1" applyAlignment="1">
      <alignment horizontal="left"/>
    </xf>
    <xf numFmtId="0" fontId="38" fillId="0" borderId="39" xfId="0" applyFont="1" applyBorder="1" applyAlignment="1">
      <alignment horizontal="center"/>
    </xf>
    <xf numFmtId="0" fontId="38" fillId="0" borderId="29" xfId="0" applyFont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8" fillId="0" borderId="31" xfId="0" applyFont="1" applyBorder="1" applyAlignment="1">
      <alignment horizontal="center"/>
    </xf>
    <xf numFmtId="0" fontId="38" fillId="0" borderId="40" xfId="0" applyFont="1" applyBorder="1" applyAlignment="1">
      <alignment horizontal="center"/>
    </xf>
    <xf numFmtId="0" fontId="41" fillId="0" borderId="36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41" fillId="0" borderId="39" xfId="0" applyFont="1" applyBorder="1" applyAlignment="1">
      <alignment horizontal="right"/>
    </xf>
    <xf numFmtId="0" fontId="41" fillId="0" borderId="29" xfId="0" applyFont="1" applyBorder="1" applyAlignment="1">
      <alignment horizontal="right"/>
    </xf>
    <xf numFmtId="0" fontId="41" fillId="0" borderId="32" xfId="0" applyFont="1" applyBorder="1" applyAlignment="1">
      <alignment horizontal="right"/>
    </xf>
    <xf numFmtId="4" fontId="37" fillId="0" borderId="4" xfId="0" applyNumberFormat="1" applyFont="1" applyBorder="1" applyAlignment="1">
      <alignment horizontal="center"/>
    </xf>
    <xf numFmtId="4" fontId="37" fillId="0" borderId="2" xfId="0" applyNumberFormat="1" applyFont="1" applyBorder="1" applyAlignment="1">
      <alignment horizontal="center"/>
    </xf>
    <xf numFmtId="4" fontId="37" fillId="0" borderId="1" xfId="0" applyNumberFormat="1" applyFont="1" applyBorder="1" applyAlignment="1">
      <alignment horizontal="center"/>
    </xf>
    <xf numFmtId="0" fontId="41" fillId="0" borderId="15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38" fillId="0" borderId="36" xfId="0" applyFont="1" applyBorder="1" applyAlignment="1">
      <alignment horizontal="center" vertical="center"/>
    </xf>
    <xf numFmtId="0" fontId="39" fillId="0" borderId="31" xfId="0" applyFont="1" applyBorder="1" applyAlignment="1">
      <alignment horizontal="left" vertical="center" wrapText="1"/>
    </xf>
    <xf numFmtId="0" fontId="39" fillId="0" borderId="29" xfId="0" applyFont="1" applyBorder="1" applyAlignment="1">
      <alignment horizontal="left" vertical="center" wrapText="1"/>
    </xf>
    <xf numFmtId="0" fontId="39" fillId="0" borderId="40" xfId="0" applyFont="1" applyBorder="1" applyAlignment="1">
      <alignment horizontal="left" vertical="center" wrapText="1"/>
    </xf>
    <xf numFmtId="2" fontId="38" fillId="0" borderId="11" xfId="0" applyNumberFormat="1" applyFont="1" applyBorder="1" applyAlignment="1">
      <alignment horizontal="center" vertical="center" wrapText="1"/>
    </xf>
    <xf numFmtId="2" fontId="38" fillId="0" borderId="0" xfId="0" applyNumberFormat="1" applyFont="1" applyAlignment="1">
      <alignment horizontal="center" vertical="center" wrapText="1"/>
    </xf>
    <xf numFmtId="0" fontId="41" fillId="0" borderId="33" xfId="0" applyFont="1" applyBorder="1" applyAlignment="1">
      <alignment horizontal="left"/>
    </xf>
    <xf numFmtId="0" fontId="39" fillId="0" borderId="37" xfId="0" applyFont="1" applyBorder="1" applyAlignment="1">
      <alignment horizontal="left"/>
    </xf>
    <xf numFmtId="0" fontId="38" fillId="0" borderId="1" xfId="0" applyFont="1" applyBorder="1" applyAlignment="1">
      <alignment horizontal="center"/>
    </xf>
    <xf numFmtId="0" fontId="40" fillId="0" borderId="33" xfId="0" applyFont="1" applyBorder="1" applyAlignment="1">
      <alignment horizontal="left"/>
    </xf>
    <xf numFmtId="0" fontId="40" fillId="0" borderId="38" xfId="0" applyFont="1" applyBorder="1" applyAlignment="1">
      <alignment horizontal="left"/>
    </xf>
    <xf numFmtId="0" fontId="39" fillId="0" borderId="39" xfId="0" applyFont="1" applyBorder="1" applyAlignment="1">
      <alignment horizontal="left" wrapText="1"/>
    </xf>
    <xf numFmtId="0" fontId="39" fillId="0" borderId="29" xfId="0" applyFont="1" applyBorder="1" applyAlignment="1">
      <alignment horizontal="left" wrapText="1"/>
    </xf>
    <xf numFmtId="0" fontId="39" fillId="0" borderId="32" xfId="0" applyFont="1" applyBorder="1" applyAlignment="1">
      <alignment horizontal="left" wrapText="1"/>
    </xf>
    <xf numFmtId="0" fontId="0" fillId="0" borderId="37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45" fillId="0" borderId="36" xfId="95" applyFont="1" applyBorder="1" applyAlignment="1">
      <alignment horizontal="center" vertical="center"/>
    </xf>
    <xf numFmtId="0" fontId="45" fillId="0" borderId="1" xfId="95" applyFont="1" applyBorder="1" applyAlignment="1">
      <alignment horizontal="center" vertical="center"/>
    </xf>
    <xf numFmtId="0" fontId="45" fillId="0" borderId="1" xfId="95" applyFont="1" applyBorder="1" applyAlignment="1">
      <alignment horizontal="center" vertical="center" wrapText="1"/>
    </xf>
    <xf numFmtId="0" fontId="45" fillId="0" borderId="37" xfId="95" applyFont="1" applyBorder="1" applyAlignment="1">
      <alignment horizontal="center" vertical="center"/>
    </xf>
    <xf numFmtId="0" fontId="37" fillId="0" borderId="36" xfId="0" applyFont="1" applyBorder="1"/>
    <xf numFmtId="0" fontId="37" fillId="0" borderId="1" xfId="0" applyFont="1" applyBorder="1"/>
    <xf numFmtId="10" fontId="37" fillId="0" borderId="1" xfId="0" applyNumberFormat="1" applyFont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38" fillId="0" borderId="36" xfId="0" applyFont="1" applyBorder="1" applyAlignment="1">
      <alignment horizontal="center"/>
    </xf>
    <xf numFmtId="0" fontId="38" fillId="0" borderId="37" xfId="0" applyFont="1" applyBorder="1" applyAlignment="1">
      <alignment horizontal="center"/>
    </xf>
    <xf numFmtId="0" fontId="38" fillId="6" borderId="1" xfId="0" applyFont="1" applyFill="1" applyBorder="1" applyAlignment="1">
      <alignment horizontal="center"/>
    </xf>
    <xf numFmtId="0" fontId="0" fillId="0" borderId="39" xfId="0" applyBorder="1" applyAlignment="1">
      <alignment horizontal="left"/>
    </xf>
    <xf numFmtId="0" fontId="0" fillId="0" borderId="29" xfId="0" applyBorder="1" applyAlignment="1">
      <alignment horizontal="left"/>
    </xf>
    <xf numFmtId="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/>
    </xf>
    <xf numFmtId="0" fontId="38" fillId="0" borderId="11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3" xfId="0" applyFont="1" applyBorder="1" applyAlignment="1">
      <alignment horizontal="center" vertical="center" wrapText="1"/>
    </xf>
    <xf numFmtId="0" fontId="39" fillId="0" borderId="14" xfId="0" applyFont="1" applyBorder="1" applyAlignment="1">
      <alignment horizontal="center" vertical="center" wrapText="1"/>
    </xf>
    <xf numFmtId="0" fontId="45" fillId="0" borderId="39" xfId="95" applyFont="1" applyBorder="1" applyAlignment="1">
      <alignment horizontal="left" vertical="center"/>
    </xf>
    <xf numFmtId="0" fontId="45" fillId="0" borderId="29" xfId="95" applyFont="1" applyBorder="1" applyAlignment="1">
      <alignment horizontal="left" vertical="center"/>
    </xf>
    <xf numFmtId="0" fontId="45" fillId="0" borderId="32" xfId="95" applyFont="1" applyBorder="1" applyAlignment="1">
      <alignment horizontal="left" vertical="center"/>
    </xf>
    <xf numFmtId="0" fontId="45" fillId="0" borderId="31" xfId="95" applyFont="1" applyBorder="1" applyAlignment="1">
      <alignment horizontal="left" vertical="center"/>
    </xf>
    <xf numFmtId="0" fontId="46" fillId="0" borderId="29" xfId="95" applyFont="1" applyBorder="1" applyAlignment="1">
      <alignment horizontal="center" vertical="center"/>
    </xf>
    <xf numFmtId="0" fontId="46" fillId="0" borderId="40" xfId="95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8" fillId="0" borderId="9" xfId="0" applyFont="1" applyBorder="1" applyAlignment="1">
      <alignment horizontal="right" vertical="center"/>
    </xf>
    <xf numFmtId="0" fontId="37" fillId="0" borderId="0" xfId="0" applyFont="1" applyAlignment="1">
      <alignment horizontal="center"/>
    </xf>
    <xf numFmtId="4" fontId="92" fillId="0" borderId="1" xfId="0" applyNumberFormat="1" applyFont="1" applyBorder="1" applyAlignment="1">
      <alignment horizontal="center" vertical="center"/>
    </xf>
    <xf numFmtId="4" fontId="92" fillId="0" borderId="37" xfId="0" applyNumberFormat="1" applyFont="1" applyBorder="1" applyAlignment="1">
      <alignment horizontal="center" vertical="center"/>
    </xf>
    <xf numFmtId="4" fontId="37" fillId="0" borderId="31" xfId="0" applyNumberFormat="1" applyFont="1" applyBorder="1" applyAlignment="1">
      <alignment horizontal="center" vertical="center"/>
    </xf>
    <xf numFmtId="4" fontId="37" fillId="0" borderId="29" xfId="0" applyNumberFormat="1" applyFont="1" applyBorder="1" applyAlignment="1">
      <alignment horizontal="center" vertical="center"/>
    </xf>
    <xf numFmtId="4" fontId="37" fillId="0" borderId="40" xfId="0" applyNumberFormat="1" applyFont="1" applyBorder="1" applyAlignment="1">
      <alignment horizontal="center" vertical="center"/>
    </xf>
    <xf numFmtId="0" fontId="91" fillId="0" borderId="99" xfId="0" applyFont="1" applyBorder="1" applyAlignment="1">
      <alignment horizontal="center" vertical="center"/>
    </xf>
    <xf numFmtId="0" fontId="91" fillId="0" borderId="29" xfId="0" applyFont="1" applyBorder="1" applyAlignment="1">
      <alignment horizontal="center" vertical="center"/>
    </xf>
    <xf numFmtId="0" fontId="91" fillId="0" borderId="32" xfId="0" applyFont="1" applyBorder="1" applyAlignment="1">
      <alignment horizontal="center" vertical="center"/>
    </xf>
    <xf numFmtId="0" fontId="91" fillId="0" borderId="39" xfId="0" applyFont="1" applyBorder="1" applyAlignment="1">
      <alignment horizontal="left" vertical="center" wrapText="1"/>
    </xf>
    <xf numFmtId="0" fontId="91" fillId="0" borderId="29" xfId="0" applyFont="1" applyBorder="1" applyAlignment="1">
      <alignment horizontal="left" vertical="center" wrapText="1"/>
    </xf>
    <xf numFmtId="0" fontId="91" fillId="0" borderId="32" xfId="0" applyFont="1" applyBorder="1" applyAlignment="1">
      <alignment horizontal="left" vertical="center" wrapText="1"/>
    </xf>
    <xf numFmtId="0" fontId="92" fillId="0" borderId="31" xfId="0" applyFont="1" applyBorder="1" applyAlignment="1">
      <alignment horizontal="center" vertical="center"/>
    </xf>
    <xf numFmtId="0" fontId="92" fillId="0" borderId="32" xfId="0" applyFont="1" applyBorder="1" applyAlignment="1">
      <alignment horizontal="center" vertical="center"/>
    </xf>
    <xf numFmtId="4" fontId="92" fillId="0" borderId="1" xfId="0" applyNumberFormat="1" applyFont="1" applyBorder="1" applyAlignment="1">
      <alignment horizontal="right" vertical="center"/>
    </xf>
    <xf numFmtId="4" fontId="92" fillId="0" borderId="31" xfId="0" applyNumberFormat="1" applyFont="1" applyBorder="1" applyAlignment="1">
      <alignment horizontal="center" vertical="center"/>
    </xf>
    <xf numFmtId="4" fontId="92" fillId="0" borderId="29" xfId="0" applyNumberFormat="1" applyFont="1" applyBorder="1" applyAlignment="1">
      <alignment horizontal="center" vertical="center"/>
    </xf>
    <xf numFmtId="4" fontId="92" fillId="0" borderId="32" xfId="0" applyNumberFormat="1" applyFont="1" applyBorder="1" applyAlignment="1">
      <alignment horizontal="center" vertical="center"/>
    </xf>
    <xf numFmtId="10" fontId="92" fillId="0" borderId="31" xfId="0" applyNumberFormat="1" applyFont="1" applyBorder="1" applyAlignment="1">
      <alignment horizontal="center" vertical="center"/>
    </xf>
    <xf numFmtId="10" fontId="92" fillId="0" borderId="29" xfId="0" applyNumberFormat="1" applyFont="1" applyBorder="1" applyAlignment="1">
      <alignment horizontal="center" vertical="center"/>
    </xf>
    <xf numFmtId="10" fontId="92" fillId="0" borderId="32" xfId="0" applyNumberFormat="1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 wrapText="1"/>
    </xf>
    <xf numFmtId="0" fontId="57" fillId="0" borderId="2" xfId="0" applyFont="1" applyBorder="1"/>
    <xf numFmtId="0" fontId="57" fillId="0" borderId="5" xfId="0" applyFont="1" applyBorder="1"/>
    <xf numFmtId="0" fontId="57" fillId="0" borderId="6" xfId="0" applyFont="1" applyBorder="1"/>
    <xf numFmtId="0" fontId="57" fillId="0" borderId="3" xfId="0" applyFont="1" applyBorder="1"/>
    <xf numFmtId="0" fontId="57" fillId="0" borderId="7" xfId="0" applyFont="1" applyBorder="1"/>
    <xf numFmtId="0" fontId="52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center" vertical="center"/>
    </xf>
    <xf numFmtId="0" fontId="52" fillId="0" borderId="37" xfId="0" applyFont="1" applyBorder="1" applyAlignment="1">
      <alignment horizontal="center" vertical="center"/>
    </xf>
    <xf numFmtId="4" fontId="93" fillId="0" borderId="31" xfId="0" applyNumberFormat="1" applyFont="1" applyBorder="1" applyAlignment="1">
      <alignment horizontal="center" vertical="center" wrapText="1"/>
    </xf>
    <xf numFmtId="4" fontId="93" fillId="0" borderId="29" xfId="0" applyNumberFormat="1" applyFont="1" applyBorder="1" applyAlignment="1">
      <alignment horizontal="center" vertical="center" wrapText="1"/>
    </xf>
    <xf numFmtId="4" fontId="93" fillId="0" borderId="40" xfId="0" applyNumberFormat="1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51" fillId="0" borderId="95" xfId="0" applyFont="1" applyBorder="1" applyAlignment="1">
      <alignment horizontal="center"/>
    </xf>
    <xf numFmtId="0" fontId="51" fillId="0" borderId="9" xfId="0" applyFont="1" applyBorder="1" applyAlignment="1">
      <alignment horizontal="center"/>
    </xf>
    <xf numFmtId="0" fontId="51" fillId="0" borderId="45" xfId="0" applyFont="1" applyBorder="1" applyAlignment="1">
      <alignment horizontal="center"/>
    </xf>
    <xf numFmtId="0" fontId="51" fillId="0" borderId="96" xfId="0" applyFont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0" borderId="41" xfId="0" applyFont="1" applyBorder="1" applyAlignment="1">
      <alignment horizontal="center"/>
    </xf>
    <xf numFmtId="0" fontId="51" fillId="0" borderId="97" xfId="0" applyFont="1" applyBorder="1" applyAlignment="1">
      <alignment horizontal="center"/>
    </xf>
    <xf numFmtId="0" fontId="51" fillId="0" borderId="3" xfId="0" applyFont="1" applyBorder="1" applyAlignment="1">
      <alignment horizontal="center"/>
    </xf>
    <xf numFmtId="0" fontId="51" fillId="0" borderId="7" xfId="0" applyFont="1" applyBorder="1" applyAlignment="1">
      <alignment horizontal="center"/>
    </xf>
    <xf numFmtId="0" fontId="38" fillId="0" borderId="1" xfId="0" applyFont="1" applyBorder="1" applyAlignment="1">
      <alignment horizontal="center" vertical="center" wrapText="1"/>
    </xf>
    <xf numFmtId="0" fontId="37" fillId="0" borderId="98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53" fillId="0" borderId="44" xfId="0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 wrapText="1"/>
    </xf>
    <xf numFmtId="0" fontId="53" fillId="0" borderId="45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41" xfId="0" applyFont="1" applyBorder="1" applyAlignment="1">
      <alignment horizontal="center" vertical="center" wrapText="1"/>
    </xf>
    <xf numFmtId="0" fontId="53" fillId="0" borderId="6" xfId="0" applyFont="1" applyBorder="1" applyAlignment="1">
      <alignment horizontal="center" vertical="center" wrapText="1"/>
    </xf>
    <xf numFmtId="0" fontId="53" fillId="0" borderId="3" xfId="0" applyFont="1" applyBorder="1" applyAlignment="1">
      <alignment horizontal="center" vertical="center" wrapText="1"/>
    </xf>
    <xf numFmtId="0" fontId="53" fillId="0" borderId="7" xfId="0" applyFont="1" applyBorder="1" applyAlignment="1">
      <alignment horizontal="center" vertical="center" wrapText="1"/>
    </xf>
    <xf numFmtId="0" fontId="60" fillId="0" borderId="44" xfId="0" applyFont="1" applyBorder="1" applyAlignment="1">
      <alignment horizontal="center" vertical="center" wrapText="1"/>
    </xf>
    <xf numFmtId="0" fontId="60" fillId="0" borderId="9" xfId="0" applyFont="1" applyBorder="1" applyAlignment="1">
      <alignment horizontal="center" vertical="center" wrapText="1"/>
    </xf>
    <xf numFmtId="0" fontId="60" fillId="0" borderId="10" xfId="0" applyFont="1" applyBorder="1" applyAlignment="1">
      <alignment horizontal="center" vertical="center" wrapText="1"/>
    </xf>
    <xf numFmtId="0" fontId="60" fillId="0" borderId="30" xfId="0" applyFont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0" fillId="0" borderId="12" xfId="0" applyFont="1" applyBorder="1" applyAlignment="1">
      <alignment horizontal="center" vertical="center" wrapText="1"/>
    </xf>
    <xf numFmtId="0" fontId="60" fillId="0" borderId="6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60" fillId="0" borderId="14" xfId="0" applyFont="1" applyBorder="1" applyAlignment="1">
      <alignment horizontal="center" vertical="center" wrapText="1"/>
    </xf>
    <xf numFmtId="0" fontId="38" fillId="0" borderId="98" xfId="0" applyFont="1" applyBorder="1" applyAlignment="1">
      <alignment horizontal="center" vertical="center"/>
    </xf>
    <xf numFmtId="0" fontId="38" fillId="0" borderId="37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41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textRotation="90"/>
    </xf>
    <xf numFmtId="0" fontId="37" fillId="0" borderId="99" xfId="0" applyFont="1" applyBorder="1" applyAlignment="1">
      <alignment horizontal="center"/>
    </xf>
    <xf numFmtId="0" fontId="37" fillId="0" borderId="29" xfId="0" applyFont="1" applyBorder="1" applyAlignment="1">
      <alignment horizontal="center"/>
    </xf>
    <xf numFmtId="0" fontId="37" fillId="0" borderId="40" xfId="0" applyFont="1" applyBorder="1" applyAlignment="1">
      <alignment horizontal="center"/>
    </xf>
    <xf numFmtId="4" fontId="38" fillId="0" borderId="31" xfId="0" applyNumberFormat="1" applyFont="1" applyBorder="1" applyAlignment="1">
      <alignment horizontal="center" vertical="center"/>
    </xf>
    <xf numFmtId="4" fontId="38" fillId="0" borderId="29" xfId="0" applyNumberFormat="1" applyFont="1" applyBorder="1" applyAlignment="1">
      <alignment horizontal="center" vertical="center"/>
    </xf>
    <xf numFmtId="4" fontId="38" fillId="0" borderId="32" xfId="0" applyNumberFormat="1" applyFont="1" applyBorder="1" applyAlignment="1">
      <alignment horizontal="center" vertical="center"/>
    </xf>
    <xf numFmtId="4" fontId="37" fillId="0" borderId="32" xfId="0" applyNumberFormat="1" applyFont="1" applyBorder="1" applyAlignment="1">
      <alignment horizontal="center" vertical="center"/>
    </xf>
    <xf numFmtId="0" fontId="38" fillId="0" borderId="99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2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43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6" borderId="30" xfId="0" applyFont="1" applyFill="1" applyBorder="1" applyAlignment="1">
      <alignment horizontal="center" vertical="top"/>
    </xf>
    <xf numFmtId="0" fontId="4" fillId="6" borderId="0" xfId="0" applyFont="1" applyFill="1" applyAlignment="1">
      <alignment horizontal="center" vertical="top"/>
    </xf>
    <xf numFmtId="0" fontId="4" fillId="6" borderId="41" xfId="0" applyFont="1" applyFill="1" applyBorder="1" applyAlignment="1">
      <alignment horizontal="center" vertical="top"/>
    </xf>
    <xf numFmtId="0" fontId="4" fillId="6" borderId="43" xfId="0" applyFont="1" applyFill="1" applyBorder="1" applyAlignment="1">
      <alignment horizontal="center" vertical="top"/>
    </xf>
    <xf numFmtId="0" fontId="4" fillId="6" borderId="18" xfId="0" applyFont="1" applyFill="1" applyBorder="1" applyAlignment="1">
      <alignment horizontal="center" vertical="top"/>
    </xf>
    <xf numFmtId="0" fontId="4" fillId="6" borderId="42" xfId="0" applyFont="1" applyFill="1" applyBorder="1" applyAlignment="1">
      <alignment horizontal="center" vertical="top"/>
    </xf>
    <xf numFmtId="0" fontId="5" fillId="0" borderId="9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30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41" xfId="0" applyFont="1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2" fontId="1" fillId="0" borderId="1" xfId="0" applyNumberFormat="1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49" fontId="1" fillId="0" borderId="2" xfId="0" applyNumberFormat="1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49" fontId="40" fillId="0" borderId="4" xfId="0" applyNumberFormat="1" applyFont="1" applyBorder="1" applyAlignment="1">
      <alignment horizontal="center"/>
    </xf>
    <xf numFmtId="49" fontId="40" fillId="0" borderId="2" xfId="0" applyNumberFormat="1" applyFont="1" applyBorder="1" applyAlignment="1">
      <alignment horizontal="center"/>
    </xf>
    <xf numFmtId="49" fontId="40" fillId="0" borderId="16" xfId="0" applyNumberFormat="1" applyFont="1" applyBorder="1" applyAlignment="1">
      <alignment horizontal="center"/>
    </xf>
    <xf numFmtId="49" fontId="40" fillId="0" borderId="30" xfId="0" applyNumberFormat="1" applyFont="1" applyBorder="1" applyAlignment="1">
      <alignment horizontal="center"/>
    </xf>
    <xf numFmtId="49" fontId="40" fillId="0" borderId="0" xfId="0" applyNumberFormat="1" applyFont="1" applyAlignment="1">
      <alignment horizontal="center"/>
    </xf>
    <xf numFmtId="49" fontId="40" fillId="0" borderId="12" xfId="0" applyNumberFormat="1" applyFont="1" applyBorder="1" applyAlignment="1">
      <alignment horizontal="center"/>
    </xf>
    <xf numFmtId="0" fontId="40" fillId="0" borderId="30" xfId="0" applyFont="1" applyBorder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40" fillId="0" borderId="12" xfId="0" applyFont="1" applyBorder="1" applyAlignment="1">
      <alignment horizontal="center" vertical="top"/>
    </xf>
    <xf numFmtId="0" fontId="40" fillId="0" borderId="43" xfId="0" applyFont="1" applyBorder="1" applyAlignment="1">
      <alignment horizontal="center" vertical="top"/>
    </xf>
    <xf numFmtId="0" fontId="40" fillId="0" borderId="18" xfId="0" applyFont="1" applyBorder="1" applyAlignment="1">
      <alignment horizontal="center" vertical="top"/>
    </xf>
    <xf numFmtId="0" fontId="40" fillId="0" borderId="19" xfId="0" applyFont="1" applyBorder="1" applyAlignment="1">
      <alignment horizontal="center" vertical="top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0" xfId="0" applyNumberFormat="1" applyAlignment="1">
      <alignment horizontal="left"/>
    </xf>
    <xf numFmtId="2" fontId="0" fillId="0" borderId="12" xfId="0" applyNumberFormat="1" applyBorder="1" applyAlignment="1">
      <alignment horizontal="left"/>
    </xf>
    <xf numFmtId="210" fontId="49" fillId="0" borderId="0" xfId="501" applyNumberFormat="1" applyFont="1" applyAlignment="1">
      <alignment horizontal="left" vertical="center" wrapText="1"/>
    </xf>
    <xf numFmtId="210" fontId="49" fillId="0" borderId="12" xfId="501" applyNumberFormat="1" applyFont="1" applyBorder="1" applyAlignment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9" fillId="0" borderId="0" xfId="50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37" fillId="0" borderId="11" xfId="0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0" fillId="0" borderId="36" xfId="0" applyBorder="1" applyAlignment="1">
      <alignment horizontal="center" vertical="center"/>
    </xf>
    <xf numFmtId="4" fontId="0" fillId="0" borderId="36" xfId="0" applyNumberFormat="1" applyBorder="1" applyAlignment="1">
      <alignment horizontal="center" vertical="center"/>
    </xf>
    <xf numFmtId="4" fontId="0" fillId="0" borderId="37" xfId="0" applyNumberFormat="1" applyBorder="1" applyAlignment="1">
      <alignment horizontal="center" vertical="center"/>
    </xf>
  </cellXfs>
  <cellStyles count="502">
    <cellStyle name="0.000" xfId="1" xr:uid="{00000000-0005-0000-0000-000000000000}"/>
    <cellStyle name="1" xfId="118" xr:uid="{00000000-0005-0000-0000-000001000000}"/>
    <cellStyle name="1_6 - BİRİM FİYAT TEKLİF CETVELİ" xfId="119" xr:uid="{00000000-0005-0000-0000-000002000000}"/>
    <cellStyle name="1_ağrı hamuer" xfId="120" xr:uid="{00000000-0005-0000-0000-000003000000}"/>
    <cellStyle name="1_GFA11" xfId="121" xr:uid="{00000000-0005-0000-0000-000004000000}"/>
    <cellStyle name="1_GFA11_BABADAĞ" xfId="122" xr:uid="{00000000-0005-0000-0000-000005000000}"/>
    <cellStyle name="1_GFA11_min.hakediş" xfId="123" xr:uid="{00000000-0005-0000-0000-000006000000}"/>
    <cellStyle name="1_GFA11_MİNİBÜS HAKEDİŞİ" xfId="124" xr:uid="{00000000-0005-0000-0000-000007000000}"/>
    <cellStyle name="1_GFA11_Minibüs Hakedişi Yeni" xfId="125" xr:uid="{00000000-0005-0000-0000-000008000000}"/>
    <cellStyle name="1_GFA11_murat hak.1" xfId="126" xr:uid="{00000000-0005-0000-0000-000009000000}"/>
    <cellStyle name="1_GFA11_VARYANT 11+251-12+221" xfId="127" xr:uid="{00000000-0005-0000-0000-00000A000000}"/>
    <cellStyle name="1_GFA4" xfId="128" xr:uid="{00000000-0005-0000-0000-00000B000000}"/>
    <cellStyle name="1_GFA4_min.hakediş" xfId="129" xr:uid="{00000000-0005-0000-0000-00000C000000}"/>
    <cellStyle name="1_GFA4_MİNİBÜS HAKEDİŞİ" xfId="130" xr:uid="{00000000-0005-0000-0000-00000D000000}"/>
    <cellStyle name="1_GFA4_Minibüs Hakedişi Yeni" xfId="131" xr:uid="{00000000-0005-0000-0000-00000E000000}"/>
    <cellStyle name="1_GFA4_murat hak.1" xfId="132" xr:uid="{00000000-0005-0000-0000-00000F000000}"/>
    <cellStyle name="1_GFA8" xfId="133" xr:uid="{00000000-0005-0000-0000-000010000000}"/>
    <cellStyle name="1_GFA8_BABADAĞ" xfId="134" xr:uid="{00000000-0005-0000-0000-000011000000}"/>
    <cellStyle name="1_GFA8_min.hakediş" xfId="135" xr:uid="{00000000-0005-0000-0000-000012000000}"/>
    <cellStyle name="1_GFA8_MİNİBÜS HAKEDİŞİ" xfId="136" xr:uid="{00000000-0005-0000-0000-000013000000}"/>
    <cellStyle name="1_GFA8_Minibüs Hakedişi Yeni" xfId="137" xr:uid="{00000000-0005-0000-0000-000014000000}"/>
    <cellStyle name="1_GFA8_murat hak.1" xfId="138" xr:uid="{00000000-0005-0000-0000-000015000000}"/>
    <cellStyle name="1_GFA8_VARYANT 11+251-12+221" xfId="139" xr:uid="{00000000-0005-0000-0000-000016000000}"/>
    <cellStyle name="1_GFA9" xfId="140" xr:uid="{00000000-0005-0000-0000-000017000000}"/>
    <cellStyle name="1_GFA9_BABADAĞ" xfId="141" xr:uid="{00000000-0005-0000-0000-000018000000}"/>
    <cellStyle name="1_GFA9_min.hakediş" xfId="142" xr:uid="{00000000-0005-0000-0000-000019000000}"/>
    <cellStyle name="1_GFA9_MİNİBÜS HAKEDİŞİ" xfId="143" xr:uid="{00000000-0005-0000-0000-00001A000000}"/>
    <cellStyle name="1_GFA9_Minibüs Hakedişi Yeni" xfId="144" xr:uid="{00000000-0005-0000-0000-00001B000000}"/>
    <cellStyle name="1_GFA9_murat hak.1" xfId="145" xr:uid="{00000000-0005-0000-0000-00001C000000}"/>
    <cellStyle name="1_GFA9_VARYANT 11+251-12+221" xfId="146" xr:uid="{00000000-0005-0000-0000-00001D000000}"/>
    <cellStyle name="1_HOPA SARP (27.10.2008)(tenz.)-2" xfId="147" xr:uid="{00000000-0005-0000-0000-00001E000000}"/>
    <cellStyle name="1_maçka-g.hane" xfId="148" xr:uid="{00000000-0005-0000-0000-00001F000000}"/>
    <cellStyle name="1_min.hakediş" xfId="149" xr:uid="{00000000-0005-0000-0000-000020000000}"/>
    <cellStyle name="1_MİNİBÜS HAKEDİŞİ" xfId="150" xr:uid="{00000000-0005-0000-0000-000021000000}"/>
    <cellStyle name="1_Minibüs Hakedişi Yeni" xfId="151" xr:uid="{00000000-0005-0000-0000-000022000000}"/>
    <cellStyle name="1_murat hak.1" xfId="152" xr:uid="{00000000-0005-0000-0000-000023000000}"/>
    <cellStyle name="1_yeni analizler" xfId="153" xr:uid="{00000000-0005-0000-0000-000024000000}"/>
    <cellStyle name="2" xfId="154" xr:uid="{00000000-0005-0000-0000-000025000000}"/>
    <cellStyle name="2_(çaycuma-bartın)saltukova kavşağı" xfId="155" xr:uid="{00000000-0005-0000-0000-000026000000}"/>
    <cellStyle name="2_2640 A" xfId="156" xr:uid="{00000000-0005-0000-0000-000027000000}"/>
    <cellStyle name="2_2641 A" xfId="157" xr:uid="{00000000-0005-0000-0000-000028000000}"/>
    <cellStyle name="2_2641 B" xfId="158" xr:uid="{00000000-0005-0000-0000-000029000000}"/>
    <cellStyle name="2_Ağrı-Hamur-Tutak-Patnos pmSON" xfId="159" xr:uid="{00000000-0005-0000-0000-00002A000000}"/>
    <cellStyle name="2_Devrek-Ereğlikeşif" xfId="160" xr:uid="{00000000-0005-0000-0000-00002B000000}"/>
    <cellStyle name="2_DEvrek-erğli keşifJ" xfId="161" xr:uid="{00000000-0005-0000-0000-00002C000000}"/>
    <cellStyle name="2_GFA11" xfId="162" xr:uid="{00000000-0005-0000-0000-00002D000000}"/>
    <cellStyle name="2_GFA11_min.hakediş" xfId="163" xr:uid="{00000000-0005-0000-0000-00002E000000}"/>
    <cellStyle name="2_GFA11_MİNİBÜS HAKEDİŞİ" xfId="164" xr:uid="{00000000-0005-0000-0000-00002F000000}"/>
    <cellStyle name="2_GFA11_Minibüs Hakedişi Yeni" xfId="165" xr:uid="{00000000-0005-0000-0000-000030000000}"/>
    <cellStyle name="2_GFA11_murat hak.1" xfId="166" xr:uid="{00000000-0005-0000-0000-000031000000}"/>
    <cellStyle name="2_GFA2" xfId="167" xr:uid="{00000000-0005-0000-0000-000032000000}"/>
    <cellStyle name="2_GFA2_(çaycuma-bartın)saltukova kavşağı" xfId="168" xr:uid="{00000000-0005-0000-0000-000033000000}"/>
    <cellStyle name="2_GFA2_2640 A" xfId="169" xr:uid="{00000000-0005-0000-0000-000034000000}"/>
    <cellStyle name="2_GFA2_2641 A" xfId="170" xr:uid="{00000000-0005-0000-0000-000035000000}"/>
    <cellStyle name="2_GFA2_2641 B" xfId="171" xr:uid="{00000000-0005-0000-0000-000036000000}"/>
    <cellStyle name="2_GFA2_Ağrı-Hamur-Tutak-Patnos pmSON" xfId="172" xr:uid="{00000000-0005-0000-0000-000037000000}"/>
    <cellStyle name="2_GFA2_Devrek-Ereğlikeşif" xfId="173" xr:uid="{00000000-0005-0000-0000-000038000000}"/>
    <cellStyle name="2_GFA2_DEvrek-erğli keşifJ" xfId="174" xr:uid="{00000000-0005-0000-0000-000039000000}"/>
    <cellStyle name="2_GFA2_hasip yazıcıoğlu 2" xfId="175" xr:uid="{00000000-0005-0000-0000-00003A000000}"/>
    <cellStyle name="2_GFA2_İLGAZMALİYET0501(SEYFİ)" xfId="176" xr:uid="{00000000-0005-0000-0000-00003B000000}"/>
    <cellStyle name="2_GFA2_min.hakediş" xfId="177" xr:uid="{00000000-0005-0000-0000-00003C000000}"/>
    <cellStyle name="2_GFA2_MİNİBÜS HAKEDİŞİ" xfId="178" xr:uid="{00000000-0005-0000-0000-00003D000000}"/>
    <cellStyle name="2_GFA2_Minibüs Hakedişi Yeni" xfId="179" xr:uid="{00000000-0005-0000-0000-00003E000000}"/>
    <cellStyle name="2_GFA2_murat hak.1" xfId="180" xr:uid="{00000000-0005-0000-0000-00003F000000}"/>
    <cellStyle name="2_GFA2_PAÇAL" xfId="181" xr:uid="{00000000-0005-0000-0000-000040000000}"/>
    <cellStyle name="2_GFA2_varyant" xfId="182" xr:uid="{00000000-0005-0000-0000-000041000000}"/>
    <cellStyle name="2_GFA2_YENİ FİYAT TUTANAKLARI" xfId="183" xr:uid="{00000000-0005-0000-0000-000042000000}"/>
    <cellStyle name="2_GFA8" xfId="184" xr:uid="{00000000-0005-0000-0000-000043000000}"/>
    <cellStyle name="2_GFA8_min.hakediş" xfId="185" xr:uid="{00000000-0005-0000-0000-000044000000}"/>
    <cellStyle name="2_GFA8_MİNİBÜS HAKEDİŞİ" xfId="186" xr:uid="{00000000-0005-0000-0000-000045000000}"/>
    <cellStyle name="2_GFA8_Minibüs Hakedişi Yeni" xfId="187" xr:uid="{00000000-0005-0000-0000-000046000000}"/>
    <cellStyle name="2_GFA8_murat hak.1" xfId="188" xr:uid="{00000000-0005-0000-0000-000047000000}"/>
    <cellStyle name="2_GFA9" xfId="189" xr:uid="{00000000-0005-0000-0000-000048000000}"/>
    <cellStyle name="2_GFA9_min.hakediş" xfId="190" xr:uid="{00000000-0005-0000-0000-000049000000}"/>
    <cellStyle name="2_GFA9_MİNİBÜS HAKEDİŞİ" xfId="191" xr:uid="{00000000-0005-0000-0000-00004A000000}"/>
    <cellStyle name="2_GFA9_Minibüs Hakedişi Yeni" xfId="192" xr:uid="{00000000-0005-0000-0000-00004B000000}"/>
    <cellStyle name="2_GFA9_murat hak.1" xfId="193" xr:uid="{00000000-0005-0000-0000-00004C000000}"/>
    <cellStyle name="2_hasip yazıcıoğlu 2" xfId="194" xr:uid="{00000000-0005-0000-0000-00004D000000}"/>
    <cellStyle name="2_İLGAZMALİYET0501(SEYFİ)" xfId="195" xr:uid="{00000000-0005-0000-0000-00004E000000}"/>
    <cellStyle name="2_min.hakediş" xfId="196" xr:uid="{00000000-0005-0000-0000-00004F000000}"/>
    <cellStyle name="2_MİNİBÜS HAKEDİŞİ" xfId="197" xr:uid="{00000000-0005-0000-0000-000050000000}"/>
    <cellStyle name="2_Minibüs Hakedişi Yeni" xfId="198" xr:uid="{00000000-0005-0000-0000-000051000000}"/>
    <cellStyle name="2_murat hak.1" xfId="199" xr:uid="{00000000-0005-0000-0000-000052000000}"/>
    <cellStyle name="2_PAÇAL" xfId="200" xr:uid="{00000000-0005-0000-0000-000053000000}"/>
    <cellStyle name="2_varyant" xfId="201" xr:uid="{00000000-0005-0000-0000-000054000000}"/>
    <cellStyle name="2_YENİ FİYAT TUTANAKLARI" xfId="202" xr:uid="{00000000-0005-0000-0000-000055000000}"/>
    <cellStyle name="3" xfId="203" xr:uid="{00000000-0005-0000-0000-000056000000}"/>
    <cellStyle name="3  LÜ" xfId="2" xr:uid="{00000000-0005-0000-0000-000057000000}"/>
    <cellStyle name="3_min.hakediş" xfId="204" xr:uid="{00000000-0005-0000-0000-000058000000}"/>
    <cellStyle name="3_MİNİBÜS HAKEDİŞİ" xfId="205" xr:uid="{00000000-0005-0000-0000-000059000000}"/>
    <cellStyle name="3_Minibüs Hakedişi Yeni" xfId="206" xr:uid="{00000000-0005-0000-0000-00005A000000}"/>
    <cellStyle name="3_murat hak.1" xfId="207" xr:uid="{00000000-0005-0000-0000-00005B000000}"/>
    <cellStyle name="4 LÜ" xfId="3" xr:uid="{00000000-0005-0000-0000-00005C000000}"/>
    <cellStyle name="a" xfId="4" xr:uid="{00000000-0005-0000-0000-00005D000000}"/>
    <cellStyle name="adn" xfId="5" xr:uid="{00000000-0005-0000-0000-00005E000000}"/>
    <cellStyle name="Alan" xfId="6" xr:uid="{00000000-0005-0000-0000-00005F000000}"/>
    <cellStyle name="ALPARLAN1" xfId="209" xr:uid="{00000000-0005-0000-0000-000060000000}"/>
    <cellStyle name="ALTCIZGI" xfId="7" xr:uid="{00000000-0005-0000-0000-000061000000}"/>
    <cellStyle name="BAKİ" xfId="210" xr:uid="{00000000-0005-0000-0000-000062000000}"/>
    <cellStyle name="BASLIK" xfId="8" xr:uid="{00000000-0005-0000-0000-000063000000}"/>
    <cellStyle name="başlık" xfId="9" xr:uid="{00000000-0005-0000-0000-000064000000}"/>
    <cellStyle name="Binlik Ayracı [0] 2" xfId="10" xr:uid="{00000000-0005-0000-0000-000065000000}"/>
    <cellStyle name="Binlik Ayracı [0] 3" xfId="11" xr:uid="{00000000-0005-0000-0000-000066000000}"/>
    <cellStyle name="Binlik Ayracı 2" xfId="12" xr:uid="{00000000-0005-0000-0000-000067000000}"/>
    <cellStyle name="Binlik Ayracı 2 10" xfId="440" xr:uid="{00000000-0005-0000-0000-000068000000}"/>
    <cellStyle name="Binlik Ayracı 2 11" xfId="441" xr:uid="{00000000-0005-0000-0000-000069000000}"/>
    <cellStyle name="Binlik Ayracı 2 2" xfId="211" xr:uid="{00000000-0005-0000-0000-00006A000000}"/>
    <cellStyle name="Binlik Ayracı 2 2 10" xfId="442" xr:uid="{00000000-0005-0000-0000-00006B000000}"/>
    <cellStyle name="Binlik Ayracı 2 2 2" xfId="212" xr:uid="{00000000-0005-0000-0000-00006C000000}"/>
    <cellStyle name="Binlik Ayracı 2 2 3" xfId="330" xr:uid="{00000000-0005-0000-0000-00006D000000}"/>
    <cellStyle name="Binlik Ayracı 2 2 4" xfId="322" xr:uid="{00000000-0005-0000-0000-00006E000000}"/>
    <cellStyle name="Binlik Ayracı 2 2 5" xfId="325" xr:uid="{00000000-0005-0000-0000-00006F000000}"/>
    <cellStyle name="Binlik Ayracı 2 2 6" xfId="317" xr:uid="{00000000-0005-0000-0000-000070000000}"/>
    <cellStyle name="Binlik Ayracı 2 2 7" xfId="335" xr:uid="{00000000-0005-0000-0000-000071000000}"/>
    <cellStyle name="Binlik Ayracı 2 2 8" xfId="445" xr:uid="{00000000-0005-0000-0000-000072000000}"/>
    <cellStyle name="Binlik Ayracı 2 2 9" xfId="439" xr:uid="{00000000-0005-0000-0000-000073000000}"/>
    <cellStyle name="Binlik Ayracı 2 3" xfId="213" xr:uid="{00000000-0005-0000-0000-000074000000}"/>
    <cellStyle name="Binlik Ayracı 2 4" xfId="329" xr:uid="{00000000-0005-0000-0000-000075000000}"/>
    <cellStyle name="Binlik Ayracı 2 5" xfId="323" xr:uid="{00000000-0005-0000-0000-000076000000}"/>
    <cellStyle name="Binlik Ayracı 2 6" xfId="324" xr:uid="{00000000-0005-0000-0000-000077000000}"/>
    <cellStyle name="Binlik Ayracı 2 7" xfId="318" xr:uid="{00000000-0005-0000-0000-000078000000}"/>
    <cellStyle name="Binlik Ayracı 2 8" xfId="331" xr:uid="{00000000-0005-0000-0000-000079000000}"/>
    <cellStyle name="Binlik Ayracı 2 9" xfId="444" xr:uid="{00000000-0005-0000-0000-00007A000000}"/>
    <cellStyle name="Binlik Ayracı 3" xfId="13" xr:uid="{00000000-0005-0000-0000-00007B000000}"/>
    <cellStyle name="Binlik Ayracı 3 10" xfId="443" xr:uid="{00000000-0005-0000-0000-00007C000000}"/>
    <cellStyle name="Binlik Ayracı 3 2" xfId="214" xr:uid="{00000000-0005-0000-0000-00007D000000}"/>
    <cellStyle name="Binlik Ayracı 3 2 10" xfId="446" xr:uid="{00000000-0005-0000-0000-00007E000000}"/>
    <cellStyle name="Binlik Ayracı 3 2 2" xfId="215" xr:uid="{00000000-0005-0000-0000-00007F000000}"/>
    <cellStyle name="Binlik Ayracı 3 2 3" xfId="333" xr:uid="{00000000-0005-0000-0000-000080000000}"/>
    <cellStyle name="Binlik Ayracı 3 2 4" xfId="320" xr:uid="{00000000-0005-0000-0000-000081000000}"/>
    <cellStyle name="Binlik Ayracı 3 2 5" xfId="327" xr:uid="{00000000-0005-0000-0000-000082000000}"/>
    <cellStyle name="Binlik Ayracı 3 2 6" xfId="315" xr:uid="{00000000-0005-0000-0000-000083000000}"/>
    <cellStyle name="Binlik Ayracı 3 2 7" xfId="337" xr:uid="{00000000-0005-0000-0000-000084000000}"/>
    <cellStyle name="Binlik Ayracı 3 2 8" xfId="448" xr:uid="{00000000-0005-0000-0000-000085000000}"/>
    <cellStyle name="Binlik Ayracı 3 2 9" xfId="437" xr:uid="{00000000-0005-0000-0000-000086000000}"/>
    <cellStyle name="Binlik Ayracı 3 3" xfId="332" xr:uid="{00000000-0005-0000-0000-000087000000}"/>
    <cellStyle name="Binlik Ayracı 3 4" xfId="321" xr:uid="{00000000-0005-0000-0000-000088000000}"/>
    <cellStyle name="Binlik Ayracı 3 5" xfId="326" xr:uid="{00000000-0005-0000-0000-000089000000}"/>
    <cellStyle name="Binlik Ayracı 3 6" xfId="316" xr:uid="{00000000-0005-0000-0000-00008A000000}"/>
    <cellStyle name="Binlik Ayracı 3 7" xfId="336" xr:uid="{00000000-0005-0000-0000-00008B000000}"/>
    <cellStyle name="Binlik Ayracı 3 8" xfId="447" xr:uid="{00000000-0005-0000-0000-00008C000000}"/>
    <cellStyle name="Binlik Ayracı 3 9" xfId="438" xr:uid="{00000000-0005-0000-0000-00008D000000}"/>
    <cellStyle name="Binlik Ayracı 4 10" xfId="450" xr:uid="{00000000-0005-0000-0000-00008E000000}"/>
    <cellStyle name="Binlik Ayracı 4 2" xfId="216" xr:uid="{00000000-0005-0000-0000-00008F000000}"/>
    <cellStyle name="Binlik Ayracı 4 3" xfId="334" xr:uid="{00000000-0005-0000-0000-000090000000}"/>
    <cellStyle name="Binlik Ayracı 4 4" xfId="319" xr:uid="{00000000-0005-0000-0000-000091000000}"/>
    <cellStyle name="Binlik Ayracı 4 5" xfId="328" xr:uid="{00000000-0005-0000-0000-000092000000}"/>
    <cellStyle name="Binlik Ayracı 4 6" xfId="314" xr:uid="{00000000-0005-0000-0000-000093000000}"/>
    <cellStyle name="Binlik Ayracı 4 7" xfId="338" xr:uid="{00000000-0005-0000-0000-000094000000}"/>
    <cellStyle name="Binlik Ayracı 4 8" xfId="449" xr:uid="{00000000-0005-0000-0000-000095000000}"/>
    <cellStyle name="Binlik Ayracı 4 9" xfId="436" xr:uid="{00000000-0005-0000-0000-000096000000}"/>
    <cellStyle name="Border" xfId="217" xr:uid="{00000000-0005-0000-0000-000097000000}"/>
    <cellStyle name="Calc Currency (0)" xfId="14" xr:uid="{00000000-0005-0000-0000-000098000000}"/>
    <cellStyle name="Calc Currency (2)" xfId="15" xr:uid="{00000000-0005-0000-0000-000099000000}"/>
    <cellStyle name="Calc Percent (0)" xfId="16" xr:uid="{00000000-0005-0000-0000-00009A000000}"/>
    <cellStyle name="Calc Percent (1)" xfId="17" xr:uid="{00000000-0005-0000-0000-00009B000000}"/>
    <cellStyle name="Calc Percent (2)" xfId="18" xr:uid="{00000000-0005-0000-0000-00009C000000}"/>
    <cellStyle name="Calc Units (0)" xfId="19" xr:uid="{00000000-0005-0000-0000-00009D000000}"/>
    <cellStyle name="Calc Units (1)" xfId="20" xr:uid="{00000000-0005-0000-0000-00009E000000}"/>
    <cellStyle name="Calc Units (2)" xfId="21" xr:uid="{00000000-0005-0000-0000-00009F000000}"/>
    <cellStyle name="Column_Title" xfId="22" xr:uid="{00000000-0005-0000-0000-0000A0000000}"/>
    <cellStyle name="Comma" xfId="219" xr:uid="{00000000-0005-0000-0000-0000A1000000}"/>
    <cellStyle name="Comma [0]" xfId="220" xr:uid="{00000000-0005-0000-0000-0000A2000000}"/>
    <cellStyle name="Comma [00]" xfId="23" xr:uid="{00000000-0005-0000-0000-0000A3000000}"/>
    <cellStyle name="Comma_1996 ÇALISMA PROGRAMI" xfId="221" xr:uid="{00000000-0005-0000-0000-0000A4000000}"/>
    <cellStyle name="Comma0" xfId="24" xr:uid="{00000000-0005-0000-0000-0000A6000000}"/>
    <cellStyle name="Comma0 - Modelo1" xfId="25" xr:uid="{00000000-0005-0000-0000-0000A7000000}"/>
    <cellStyle name="Comma0 - Style1" xfId="26" xr:uid="{00000000-0005-0000-0000-0000A8000000}"/>
    <cellStyle name="Comma0 10" xfId="452" xr:uid="{00000000-0005-0000-0000-0000A9000000}"/>
    <cellStyle name="Comma0 2" xfId="222" xr:uid="{00000000-0005-0000-0000-0000AA000000}"/>
    <cellStyle name="Comma0 3" xfId="340" xr:uid="{00000000-0005-0000-0000-0000AB000000}"/>
    <cellStyle name="Comma0 4" xfId="313" xr:uid="{00000000-0005-0000-0000-0000AC000000}"/>
    <cellStyle name="Comma0 5" xfId="339" xr:uid="{00000000-0005-0000-0000-0000AD000000}"/>
    <cellStyle name="Comma0 6" xfId="304" xr:uid="{00000000-0005-0000-0000-0000AE000000}"/>
    <cellStyle name="Comma0 7" xfId="357" xr:uid="{00000000-0005-0000-0000-0000AF000000}"/>
    <cellStyle name="Comma0 8" xfId="451" xr:uid="{00000000-0005-0000-0000-0000B0000000}"/>
    <cellStyle name="Comma0 9" xfId="435" xr:uid="{00000000-0005-0000-0000-0000B1000000}"/>
    <cellStyle name="Comma0_HAKEDİŞ TEK DOSYA" xfId="27" xr:uid="{00000000-0005-0000-0000-0000B2000000}"/>
    <cellStyle name="Comma1 - Modelo2" xfId="28" xr:uid="{00000000-0005-0000-0000-0000B3000000}"/>
    <cellStyle name="Comma1 - Style2" xfId="29" xr:uid="{00000000-0005-0000-0000-0000B4000000}"/>
    <cellStyle name="Currency" xfId="223" xr:uid="{00000000-0005-0000-0000-0000B5000000}"/>
    <cellStyle name="Currency [_x0010_]_ÜST YAP. MALZ. TAŞ. İTİ.HES" xfId="224" xr:uid="{00000000-0005-0000-0000-0000B6000000}"/>
    <cellStyle name="Currency [0]" xfId="225" xr:uid="{00000000-0005-0000-0000-0000B7000000}"/>
    <cellStyle name="Currency [00]" xfId="30" xr:uid="{00000000-0005-0000-0000-0000B8000000}"/>
    <cellStyle name="Currency_1996 ÇALISMA PROGRAMI" xfId="226" xr:uid="{00000000-0005-0000-0000-0000B9000000}"/>
    <cellStyle name="Currency0" xfId="31" xr:uid="{00000000-0005-0000-0000-0000BA000000}"/>
    <cellStyle name="Currency0 10" xfId="461" xr:uid="{00000000-0005-0000-0000-0000BB000000}"/>
    <cellStyle name="Currency0 2" xfId="227" xr:uid="{00000000-0005-0000-0000-0000BC000000}"/>
    <cellStyle name="Currency0 3" xfId="341" xr:uid="{00000000-0005-0000-0000-0000BD000000}"/>
    <cellStyle name="Currency0 4" xfId="312" xr:uid="{00000000-0005-0000-0000-0000BE000000}"/>
    <cellStyle name="Currency0 5" xfId="347" xr:uid="{00000000-0005-0000-0000-0000BF000000}"/>
    <cellStyle name="Currency0 6" xfId="303" xr:uid="{00000000-0005-0000-0000-0000C0000000}"/>
    <cellStyle name="Currency0 7" xfId="359" xr:uid="{00000000-0005-0000-0000-0000C1000000}"/>
    <cellStyle name="Currency0 8" xfId="453" xr:uid="{00000000-0005-0000-0000-0000C2000000}"/>
    <cellStyle name="Currency0 9" xfId="434" xr:uid="{00000000-0005-0000-0000-0000C3000000}"/>
    <cellStyle name="Date" xfId="32" xr:uid="{00000000-0005-0000-0000-0000C4000000}"/>
    <cellStyle name="Date 10" xfId="462" xr:uid="{00000000-0005-0000-0000-0000C5000000}"/>
    <cellStyle name="Date 2" xfId="228" xr:uid="{00000000-0005-0000-0000-0000C6000000}"/>
    <cellStyle name="Date 3" xfId="342" xr:uid="{00000000-0005-0000-0000-0000C7000000}"/>
    <cellStyle name="Date 4" xfId="311" xr:uid="{00000000-0005-0000-0000-0000C8000000}"/>
    <cellStyle name="Date 5" xfId="348" xr:uid="{00000000-0005-0000-0000-0000C9000000}"/>
    <cellStyle name="Date 6" xfId="302" xr:uid="{00000000-0005-0000-0000-0000CA000000}"/>
    <cellStyle name="Date 7" xfId="361" xr:uid="{00000000-0005-0000-0000-0000CB000000}"/>
    <cellStyle name="Date 8" xfId="454" xr:uid="{00000000-0005-0000-0000-0000CC000000}"/>
    <cellStyle name="Date 9" xfId="433" xr:uid="{00000000-0005-0000-0000-0000CD000000}"/>
    <cellStyle name="Date Short" xfId="33" xr:uid="{00000000-0005-0000-0000-0000CE000000}"/>
    <cellStyle name="Date_HAKEDİŞ 2-iskenderun" xfId="34" xr:uid="{00000000-0005-0000-0000-0000CF000000}"/>
    <cellStyle name="DENİZ0" xfId="35" xr:uid="{00000000-0005-0000-0000-0000D0000000}"/>
    <cellStyle name="DENİZ0 10" xfId="463" xr:uid="{00000000-0005-0000-0000-0000D1000000}"/>
    <cellStyle name="DENİZ0 2" xfId="229" xr:uid="{00000000-0005-0000-0000-0000D2000000}"/>
    <cellStyle name="DENİZ0 3" xfId="343" xr:uid="{00000000-0005-0000-0000-0000D3000000}"/>
    <cellStyle name="DENİZ0 4" xfId="310" xr:uid="{00000000-0005-0000-0000-0000D4000000}"/>
    <cellStyle name="DENİZ0 5" xfId="351" xr:uid="{00000000-0005-0000-0000-0000D5000000}"/>
    <cellStyle name="DENİZ0 6" xfId="301" xr:uid="{00000000-0005-0000-0000-0000D6000000}"/>
    <cellStyle name="DENİZ0 7" xfId="363" xr:uid="{00000000-0005-0000-0000-0000D7000000}"/>
    <cellStyle name="DENİZ0 8" xfId="455" xr:uid="{00000000-0005-0000-0000-0000D8000000}"/>
    <cellStyle name="DENİZ0 9" xfId="432" xr:uid="{00000000-0005-0000-0000-0000D9000000}"/>
    <cellStyle name="DENİZ1" xfId="36" xr:uid="{00000000-0005-0000-0000-0000DA000000}"/>
    <cellStyle name="DENİZ1 10" xfId="464" xr:uid="{00000000-0005-0000-0000-0000DB000000}"/>
    <cellStyle name="DENİZ1 2" xfId="230" xr:uid="{00000000-0005-0000-0000-0000DC000000}"/>
    <cellStyle name="DENİZ1 3" xfId="344" xr:uid="{00000000-0005-0000-0000-0000DD000000}"/>
    <cellStyle name="DENİZ1 4" xfId="309" xr:uid="{00000000-0005-0000-0000-0000DE000000}"/>
    <cellStyle name="DENİZ1 5" xfId="352" xr:uid="{00000000-0005-0000-0000-0000DF000000}"/>
    <cellStyle name="DENİZ1 6" xfId="300" xr:uid="{00000000-0005-0000-0000-0000E0000000}"/>
    <cellStyle name="DENİZ1 7" xfId="365" xr:uid="{00000000-0005-0000-0000-0000E1000000}"/>
    <cellStyle name="DENİZ1 8" xfId="456" xr:uid="{00000000-0005-0000-0000-0000E2000000}"/>
    <cellStyle name="DENİZ1 9" xfId="431" xr:uid="{00000000-0005-0000-0000-0000E3000000}"/>
    <cellStyle name="DENİZ2" xfId="37" xr:uid="{00000000-0005-0000-0000-0000E4000000}"/>
    <cellStyle name="DENİZ2 10" xfId="465" xr:uid="{00000000-0005-0000-0000-0000E5000000}"/>
    <cellStyle name="DENİZ2 2" xfId="231" xr:uid="{00000000-0005-0000-0000-0000E6000000}"/>
    <cellStyle name="DENİZ2 3" xfId="345" xr:uid="{00000000-0005-0000-0000-0000E7000000}"/>
    <cellStyle name="DENİZ2 4" xfId="308" xr:uid="{00000000-0005-0000-0000-0000E8000000}"/>
    <cellStyle name="DENİZ2 5" xfId="353" xr:uid="{00000000-0005-0000-0000-0000E9000000}"/>
    <cellStyle name="DENİZ2 6" xfId="299" xr:uid="{00000000-0005-0000-0000-0000EA000000}"/>
    <cellStyle name="DENİZ2 7" xfId="367" xr:uid="{00000000-0005-0000-0000-0000EB000000}"/>
    <cellStyle name="DENİZ2 8" xfId="457" xr:uid="{00000000-0005-0000-0000-0000EC000000}"/>
    <cellStyle name="DENİZ2 9" xfId="430" xr:uid="{00000000-0005-0000-0000-0000ED000000}"/>
    <cellStyle name="DENİZ3" xfId="38" xr:uid="{00000000-0005-0000-0000-0000EE000000}"/>
    <cellStyle name="DENİZ3 10" xfId="466" xr:uid="{00000000-0005-0000-0000-0000EF000000}"/>
    <cellStyle name="DENİZ3 2" xfId="232" xr:uid="{00000000-0005-0000-0000-0000F0000000}"/>
    <cellStyle name="DENİZ3 3" xfId="346" xr:uid="{00000000-0005-0000-0000-0000F1000000}"/>
    <cellStyle name="DENİZ3 4" xfId="307" xr:uid="{00000000-0005-0000-0000-0000F2000000}"/>
    <cellStyle name="DENİZ3 5" xfId="354" xr:uid="{00000000-0005-0000-0000-0000F3000000}"/>
    <cellStyle name="DENİZ3 6" xfId="298" xr:uid="{00000000-0005-0000-0000-0000F4000000}"/>
    <cellStyle name="DENİZ3 7" xfId="369" xr:uid="{00000000-0005-0000-0000-0000F5000000}"/>
    <cellStyle name="DENİZ3 8" xfId="458" xr:uid="{00000000-0005-0000-0000-0000F6000000}"/>
    <cellStyle name="DENİZ3 9" xfId="429" xr:uid="{00000000-0005-0000-0000-0000F7000000}"/>
    <cellStyle name="DENİZ4" xfId="39" xr:uid="{00000000-0005-0000-0000-0000F8000000}"/>
    <cellStyle name="DENİZ5" xfId="40" xr:uid="{00000000-0005-0000-0000-0000F9000000}"/>
    <cellStyle name="DENİZ6" xfId="41" xr:uid="{00000000-0005-0000-0000-0000FA000000}"/>
    <cellStyle name="DENİZ6 10" xfId="467" xr:uid="{00000000-0005-0000-0000-0000FB000000}"/>
    <cellStyle name="DENİZ6 2" xfId="234" xr:uid="{00000000-0005-0000-0000-0000FC000000}"/>
    <cellStyle name="DENİZ6 3" xfId="349" xr:uid="{00000000-0005-0000-0000-0000FD000000}"/>
    <cellStyle name="DENİZ6 4" xfId="306" xr:uid="{00000000-0005-0000-0000-0000FE000000}"/>
    <cellStyle name="DENİZ6 5" xfId="355" xr:uid="{00000000-0005-0000-0000-0000FF000000}"/>
    <cellStyle name="DENİZ6 6" xfId="296" xr:uid="{00000000-0005-0000-0000-000000010000}"/>
    <cellStyle name="DENİZ6 7" xfId="372" xr:uid="{00000000-0005-0000-0000-000001010000}"/>
    <cellStyle name="DENİZ6 8" xfId="459" xr:uid="{00000000-0005-0000-0000-000002010000}"/>
    <cellStyle name="DENİZ6 9" xfId="428" xr:uid="{00000000-0005-0000-0000-000003010000}"/>
    <cellStyle name="DENİZ7" xfId="42" xr:uid="{00000000-0005-0000-0000-000004010000}"/>
    <cellStyle name="DENİZ7 10" xfId="468" xr:uid="{00000000-0005-0000-0000-000005010000}"/>
    <cellStyle name="DENİZ7 2" xfId="235" xr:uid="{00000000-0005-0000-0000-000006010000}"/>
    <cellStyle name="DENİZ7 3" xfId="350" xr:uid="{00000000-0005-0000-0000-000007010000}"/>
    <cellStyle name="DENİZ7 4" xfId="305" xr:uid="{00000000-0005-0000-0000-000008010000}"/>
    <cellStyle name="DENİZ7 5" xfId="356" xr:uid="{00000000-0005-0000-0000-000009010000}"/>
    <cellStyle name="DENİZ7 6" xfId="294" xr:uid="{00000000-0005-0000-0000-00000A010000}"/>
    <cellStyle name="DENİZ7 7" xfId="374" xr:uid="{00000000-0005-0000-0000-00000B010000}"/>
    <cellStyle name="DENİZ7 8" xfId="460" xr:uid="{00000000-0005-0000-0000-00000C010000}"/>
    <cellStyle name="DENİZ7 9" xfId="427" xr:uid="{00000000-0005-0000-0000-00000D010000}"/>
    <cellStyle name="DENİZ8" xfId="43" xr:uid="{00000000-0005-0000-0000-00000E010000}"/>
    <cellStyle name="DENYZ0" xfId="236" xr:uid="{00000000-0005-0000-0000-00000F010000}"/>
    <cellStyle name="DENYZ1" xfId="237" xr:uid="{00000000-0005-0000-0000-000010010000}"/>
    <cellStyle name="DENYZ2" xfId="238" xr:uid="{00000000-0005-0000-0000-000011010000}"/>
    <cellStyle name="DENYZ3" xfId="239" xr:uid="{00000000-0005-0000-0000-000012010000}"/>
    <cellStyle name="DENYZ4" xfId="240" xr:uid="{00000000-0005-0000-0000-000013010000}"/>
    <cellStyle name="DENYZ5" xfId="241" xr:uid="{00000000-0005-0000-0000-000014010000}"/>
    <cellStyle name="DENYZ6" xfId="242" xr:uid="{00000000-0005-0000-0000-000015010000}"/>
    <cellStyle name="DENYZ7" xfId="243" xr:uid="{00000000-0005-0000-0000-000016010000}"/>
    <cellStyle name="DENYZ8" xfId="244" xr:uid="{00000000-0005-0000-0000-000017010000}"/>
    <cellStyle name="Dezimal [0]_CAR" xfId="44" xr:uid="{00000000-0005-0000-0000-000018010000}"/>
    <cellStyle name="Dezimal_CAR" xfId="45" xr:uid="{00000000-0005-0000-0000-000019010000}"/>
    <cellStyle name="Dia" xfId="46" xr:uid="{00000000-0005-0000-0000-00001A010000}"/>
    <cellStyle name="Encabez1" xfId="47" xr:uid="{00000000-0005-0000-0000-00001B010000}"/>
    <cellStyle name="Encabez2" xfId="48" xr:uid="{00000000-0005-0000-0000-00001C010000}"/>
    <cellStyle name="Enter Currency (0)" xfId="49" xr:uid="{00000000-0005-0000-0000-00001D010000}"/>
    <cellStyle name="Enter Currency (2)" xfId="50" xr:uid="{00000000-0005-0000-0000-00001E010000}"/>
    <cellStyle name="Enter Units (0)" xfId="51" xr:uid="{00000000-0005-0000-0000-00001F010000}"/>
    <cellStyle name="Enter Units (1)" xfId="52" xr:uid="{00000000-0005-0000-0000-000020010000}"/>
    <cellStyle name="Enter Units (2)" xfId="53" xr:uid="{00000000-0005-0000-0000-000021010000}"/>
    <cellStyle name="Euro" xfId="245" xr:uid="{00000000-0005-0000-0000-000022010000}"/>
    <cellStyle name="F2" xfId="54" xr:uid="{00000000-0005-0000-0000-000023010000}"/>
    <cellStyle name="F2 10" xfId="476" xr:uid="{00000000-0005-0000-0000-000024010000}"/>
    <cellStyle name="F2 2" xfId="246" xr:uid="{00000000-0005-0000-0000-000025010000}"/>
    <cellStyle name="F2 3" xfId="358" xr:uid="{00000000-0005-0000-0000-000026010000}"/>
    <cellStyle name="F2 4" xfId="297" xr:uid="{00000000-0005-0000-0000-000027010000}"/>
    <cellStyle name="F2 5" xfId="371" xr:uid="{00000000-0005-0000-0000-000028010000}"/>
    <cellStyle name="F2 6" xfId="276" xr:uid="{00000000-0005-0000-0000-000029010000}"/>
    <cellStyle name="F2 7" xfId="382" xr:uid="{00000000-0005-0000-0000-00002A010000}"/>
    <cellStyle name="F2 8" xfId="469" xr:uid="{00000000-0005-0000-0000-00002B010000}"/>
    <cellStyle name="F2 9" xfId="426" xr:uid="{00000000-0005-0000-0000-00002C010000}"/>
    <cellStyle name="F3" xfId="55" xr:uid="{00000000-0005-0000-0000-00002D010000}"/>
    <cellStyle name="F4" xfId="56" xr:uid="{00000000-0005-0000-0000-00002E010000}"/>
    <cellStyle name="F4 10" xfId="477" xr:uid="{00000000-0005-0000-0000-00002F010000}"/>
    <cellStyle name="F4 2" xfId="247" xr:uid="{00000000-0005-0000-0000-000030010000}"/>
    <cellStyle name="F4 3" xfId="360" xr:uid="{00000000-0005-0000-0000-000031010000}"/>
    <cellStyle name="F4 4" xfId="295" xr:uid="{00000000-0005-0000-0000-000032010000}"/>
    <cellStyle name="F4 5" xfId="373" xr:uid="{00000000-0005-0000-0000-000033010000}"/>
    <cellStyle name="F4 6" xfId="390" xr:uid="{00000000-0005-0000-0000-000034010000}"/>
    <cellStyle name="F4 7" xfId="383" xr:uid="{00000000-0005-0000-0000-000035010000}"/>
    <cellStyle name="F4 8" xfId="470" xr:uid="{00000000-0005-0000-0000-000036010000}"/>
    <cellStyle name="F4 9" xfId="425" xr:uid="{00000000-0005-0000-0000-000037010000}"/>
    <cellStyle name="F5" xfId="57" xr:uid="{00000000-0005-0000-0000-000038010000}"/>
    <cellStyle name="F6" xfId="58" xr:uid="{00000000-0005-0000-0000-000039010000}"/>
    <cellStyle name="F6 10" xfId="478" xr:uid="{00000000-0005-0000-0000-00003A010000}"/>
    <cellStyle name="F6 2" xfId="248" xr:uid="{00000000-0005-0000-0000-00003B010000}"/>
    <cellStyle name="F6 3" xfId="362" xr:uid="{00000000-0005-0000-0000-00003C010000}"/>
    <cellStyle name="F6 4" xfId="293" xr:uid="{00000000-0005-0000-0000-00003D010000}"/>
    <cellStyle name="F6 5" xfId="375" xr:uid="{00000000-0005-0000-0000-00003E010000}"/>
    <cellStyle name="F6 6" xfId="391" xr:uid="{00000000-0005-0000-0000-00003F010000}"/>
    <cellStyle name="F6 7" xfId="386" xr:uid="{00000000-0005-0000-0000-000040010000}"/>
    <cellStyle name="F6 8" xfId="471" xr:uid="{00000000-0005-0000-0000-000041010000}"/>
    <cellStyle name="F6 9" xfId="424" xr:uid="{00000000-0005-0000-0000-000042010000}"/>
    <cellStyle name="F7" xfId="59" xr:uid="{00000000-0005-0000-0000-000043010000}"/>
    <cellStyle name="F8" xfId="60" xr:uid="{00000000-0005-0000-0000-000044010000}"/>
    <cellStyle name="F8 10" xfId="479" xr:uid="{00000000-0005-0000-0000-000045010000}"/>
    <cellStyle name="F8 2" xfId="249" xr:uid="{00000000-0005-0000-0000-000046010000}"/>
    <cellStyle name="F8 3" xfId="364" xr:uid="{00000000-0005-0000-0000-000047010000}"/>
    <cellStyle name="F8 4" xfId="292" xr:uid="{00000000-0005-0000-0000-000048010000}"/>
    <cellStyle name="F8 5" xfId="376" xr:uid="{00000000-0005-0000-0000-000049010000}"/>
    <cellStyle name="F8 6" xfId="392" xr:uid="{00000000-0005-0000-0000-00004A010000}"/>
    <cellStyle name="F8 7" xfId="388" xr:uid="{00000000-0005-0000-0000-00004B010000}"/>
    <cellStyle name="F8 8" xfId="472" xr:uid="{00000000-0005-0000-0000-00004C010000}"/>
    <cellStyle name="F8 9" xfId="423" xr:uid="{00000000-0005-0000-0000-00004D010000}"/>
    <cellStyle name="Fıxed" xfId="250" xr:uid="{00000000-0005-0000-0000-00004E010000}"/>
    <cellStyle name="Fijo" xfId="61" xr:uid="{00000000-0005-0000-0000-00004F010000}"/>
    <cellStyle name="Financiero" xfId="62" xr:uid="{00000000-0005-0000-0000-000050010000}"/>
    <cellStyle name="Fixed" xfId="63" xr:uid="{00000000-0005-0000-0000-000051010000}"/>
    <cellStyle name="Fixed 10" xfId="480" xr:uid="{00000000-0005-0000-0000-000052010000}"/>
    <cellStyle name="Fixed 2" xfId="251" xr:uid="{00000000-0005-0000-0000-000053010000}"/>
    <cellStyle name="Fixed 3" xfId="366" xr:uid="{00000000-0005-0000-0000-000054010000}"/>
    <cellStyle name="Fixed 4" xfId="208" xr:uid="{00000000-0005-0000-0000-000055010000}"/>
    <cellStyle name="Fixed 5" xfId="377" xr:uid="{00000000-0005-0000-0000-000056010000}"/>
    <cellStyle name="Fixed 6" xfId="393" xr:uid="{00000000-0005-0000-0000-000057010000}"/>
    <cellStyle name="Fixed 7" xfId="389" xr:uid="{00000000-0005-0000-0000-000058010000}"/>
    <cellStyle name="Fixed 8" xfId="473" xr:uid="{00000000-0005-0000-0000-000059010000}"/>
    <cellStyle name="Fixed 9" xfId="422" xr:uid="{00000000-0005-0000-0000-00005A010000}"/>
    <cellStyle name="Followed Hyperlink_HAKEDİŞ CMM 2" xfId="252" xr:uid="{00000000-0005-0000-0000-00005B010000}"/>
    <cellStyle name="FONT" xfId="64" xr:uid="{00000000-0005-0000-0000-00005C010000}"/>
    <cellStyle name="FONT 10" xfId="481" xr:uid="{00000000-0005-0000-0000-00005D010000}"/>
    <cellStyle name="FONT 2" xfId="253" xr:uid="{00000000-0005-0000-0000-00005E010000}"/>
    <cellStyle name="FONT 3" xfId="368" xr:uid="{00000000-0005-0000-0000-00005F010000}"/>
    <cellStyle name="FONT 4" xfId="218" xr:uid="{00000000-0005-0000-0000-000060010000}"/>
    <cellStyle name="FONT 5" xfId="378" xr:uid="{00000000-0005-0000-0000-000061010000}"/>
    <cellStyle name="FONT 6" xfId="395" xr:uid="{00000000-0005-0000-0000-000062010000}"/>
    <cellStyle name="FONT 7" xfId="402" xr:uid="{00000000-0005-0000-0000-000063010000}"/>
    <cellStyle name="FONT 8" xfId="474" xr:uid="{00000000-0005-0000-0000-000064010000}"/>
    <cellStyle name="FONT 9" xfId="421" xr:uid="{00000000-0005-0000-0000-000065010000}"/>
    <cellStyle name="gölge" xfId="65" xr:uid="{00000000-0005-0000-0000-000066010000}"/>
    <cellStyle name="Grey" xfId="254" xr:uid="{00000000-0005-0000-0000-000067010000}"/>
    <cellStyle name="GY" xfId="66" xr:uid="{00000000-0005-0000-0000-000068010000}"/>
    <cellStyle name="GY 10" xfId="483" xr:uid="{00000000-0005-0000-0000-000069010000}"/>
    <cellStyle name="GY 2" xfId="255" xr:uid="{00000000-0005-0000-0000-00006A010000}"/>
    <cellStyle name="GY 3" xfId="370" xr:uid="{00000000-0005-0000-0000-00006B010000}"/>
    <cellStyle name="GY 4" xfId="233" xr:uid="{00000000-0005-0000-0000-00006C010000}"/>
    <cellStyle name="GY 5" xfId="379" xr:uid="{00000000-0005-0000-0000-00006D010000}"/>
    <cellStyle name="GY 6" xfId="396" xr:uid="{00000000-0005-0000-0000-00006E010000}"/>
    <cellStyle name="GY 7" xfId="403" xr:uid="{00000000-0005-0000-0000-00006F010000}"/>
    <cellStyle name="GY 8" xfId="475" xr:uid="{00000000-0005-0000-0000-000070010000}"/>
    <cellStyle name="GY 9" xfId="420" xr:uid="{00000000-0005-0000-0000-000071010000}"/>
    <cellStyle name="HACIM" xfId="67" xr:uid="{00000000-0005-0000-0000-000072010000}"/>
    <cellStyle name="Header1" xfId="68" xr:uid="{00000000-0005-0000-0000-000073010000}"/>
    <cellStyle name="Header2" xfId="69" xr:uid="{00000000-0005-0000-0000-000074010000}"/>
    <cellStyle name="Headıng1" xfId="256" xr:uid="{00000000-0005-0000-0000-000075010000}"/>
    <cellStyle name="Headıng2" xfId="257" xr:uid="{00000000-0005-0000-0000-000076010000}"/>
    <cellStyle name="Heading 1" xfId="258" xr:uid="{00000000-0005-0000-0000-000077010000}"/>
    <cellStyle name="Heading 2" xfId="259" xr:uid="{00000000-0005-0000-0000-000078010000}"/>
    <cellStyle name="Heading1" xfId="70" xr:uid="{00000000-0005-0000-0000-000079010000}"/>
    <cellStyle name="Heading2" xfId="71" xr:uid="{00000000-0005-0000-0000-00007A010000}"/>
    <cellStyle name="Headline III" xfId="260" xr:uid="{00000000-0005-0000-0000-00007B010000}"/>
    <cellStyle name="helvetica narrow" xfId="72" xr:uid="{00000000-0005-0000-0000-00007C010000}"/>
    <cellStyle name="Hyperlink_HAKEDİŞ CMM 2" xfId="261" xr:uid="{00000000-0005-0000-0000-00007D010000}"/>
    <cellStyle name="Input [yellow]" xfId="262" xr:uid="{00000000-0005-0000-0000-00007E010000}"/>
    <cellStyle name="Îáû÷íûé_PERSONAL" xfId="73" xr:uid="{00000000-0005-0000-0000-00007F010000}"/>
    <cellStyle name="KDV" xfId="74" xr:uid="{00000000-0005-0000-0000-000080010000}"/>
    <cellStyle name="Link Currency (0)" xfId="75" xr:uid="{00000000-0005-0000-0000-000081010000}"/>
    <cellStyle name="Link Currency (2)" xfId="76" xr:uid="{00000000-0005-0000-0000-000082010000}"/>
    <cellStyle name="Link Units (0)" xfId="77" xr:uid="{00000000-0005-0000-0000-000083010000}"/>
    <cellStyle name="Link Units (1)" xfId="78" xr:uid="{00000000-0005-0000-0000-000084010000}"/>
    <cellStyle name="Link Units (2)" xfId="79" xr:uid="{00000000-0005-0000-0000-000085010000}"/>
    <cellStyle name="mik" xfId="263" xr:uid="{00000000-0005-0000-0000-000086010000}"/>
    <cellStyle name="Millares [0]_10 AVERIAS MASIVAS + ANT" xfId="80" xr:uid="{00000000-0005-0000-0000-000087010000}"/>
    <cellStyle name="Millares_10 AVERIAS MASIVAS + ANT" xfId="81" xr:uid="{00000000-0005-0000-0000-000088010000}"/>
    <cellStyle name="Milliers [0]_alrar electr-bloc" xfId="264" xr:uid="{00000000-0005-0000-0000-000089010000}"/>
    <cellStyle name="Milliers_632 Logts Tizi-ouzou (V.R.D) " xfId="265" xr:uid="{00000000-0005-0000-0000-00008A010000}"/>
    <cellStyle name="Moneda [0]_10 AVERIAS MASIVAS + ANT" xfId="82" xr:uid="{00000000-0005-0000-0000-00008B010000}"/>
    <cellStyle name="Moneda_10 AVERIAS MASIVAS + ANT" xfId="83" xr:uid="{00000000-0005-0000-0000-00008C010000}"/>
    <cellStyle name="Monétaire [0]_alrar electr-bloc" xfId="266" xr:uid="{00000000-0005-0000-0000-00008D010000}"/>
    <cellStyle name="Monétaire_alrar electr-bloc" xfId="267" xr:uid="{00000000-0005-0000-0000-00008E010000}"/>
    <cellStyle name="Monetario" xfId="84" xr:uid="{00000000-0005-0000-0000-00008F010000}"/>
    <cellStyle name="mt biç" xfId="85" xr:uid="{00000000-0005-0000-0000-000090010000}"/>
    <cellStyle name="no dec" xfId="86" xr:uid="{00000000-0005-0000-0000-000091010000}"/>
    <cellStyle name="Normal" xfId="0" builtinId="0"/>
    <cellStyle name="Normal - Style1" xfId="268" xr:uid="{00000000-0005-0000-0000-000093010000}"/>
    <cellStyle name="Normal 10" xfId="419" xr:uid="{00000000-0005-0000-0000-000094010000}"/>
    <cellStyle name="Normal 11" xfId="488" xr:uid="{00000000-0005-0000-0000-000095010000}"/>
    <cellStyle name="Normal 12" xfId="113" xr:uid="{00000000-0005-0000-0000-000096010000}"/>
    <cellStyle name="Normal 13" xfId="114" xr:uid="{00000000-0005-0000-0000-000097010000}"/>
    <cellStyle name="Normal 14" xfId="115" xr:uid="{00000000-0005-0000-0000-000098010000}"/>
    <cellStyle name="Normal 15" xfId="116" xr:uid="{00000000-0005-0000-0000-000099010000}"/>
    <cellStyle name="Normal 16" xfId="494" xr:uid="{00000000-0005-0000-0000-00009A010000}"/>
    <cellStyle name="Normal 2" xfId="87" xr:uid="{00000000-0005-0000-0000-00009B010000}"/>
    <cellStyle name="Normal 2 2" xfId="88" xr:uid="{00000000-0005-0000-0000-00009C010000}"/>
    <cellStyle name="Normal 2 2 10" xfId="495" xr:uid="{00000000-0005-0000-0000-00009D010000}"/>
    <cellStyle name="Normal 2 2 2" xfId="269" xr:uid="{00000000-0005-0000-0000-00009E010000}"/>
    <cellStyle name="Normal 2 2 3" xfId="380" xr:uid="{00000000-0005-0000-0000-00009F010000}"/>
    <cellStyle name="Normal 2 2 4" xfId="394" xr:uid="{00000000-0005-0000-0000-0000A0010000}"/>
    <cellStyle name="Normal 2 2 5" xfId="401" xr:uid="{00000000-0005-0000-0000-0000A1010000}"/>
    <cellStyle name="Normal 2 2 6" xfId="408" xr:uid="{00000000-0005-0000-0000-0000A2010000}"/>
    <cellStyle name="Normal 2 2 7" xfId="413" xr:uid="{00000000-0005-0000-0000-0000A3010000}"/>
    <cellStyle name="Normal 2 2 8" xfId="482" xr:uid="{00000000-0005-0000-0000-0000A4010000}"/>
    <cellStyle name="Normal 2 2 9" xfId="489" xr:uid="{00000000-0005-0000-0000-0000A5010000}"/>
    <cellStyle name="Normal 2 3" xfId="270" xr:uid="{00000000-0005-0000-0000-0000A6010000}"/>
    <cellStyle name="Normal 2 4" xfId="271" xr:uid="{00000000-0005-0000-0000-0000A7010000}"/>
    <cellStyle name="Normal 2 4 2" xfId="272" xr:uid="{00000000-0005-0000-0000-0000A8010000}"/>
    <cellStyle name="Normal 2 4 2 2" xfId="273" xr:uid="{00000000-0005-0000-0000-0000A9010000}"/>
    <cellStyle name="Normal 2 44" xfId="112" xr:uid="{00000000-0005-0000-0000-0000AA010000}"/>
    <cellStyle name="Normal 2 5" xfId="274" xr:uid="{00000000-0005-0000-0000-0000AB010000}"/>
    <cellStyle name="Normal 3" xfId="89" xr:uid="{00000000-0005-0000-0000-0000AC010000}"/>
    <cellStyle name="Normal 3 10" xfId="496" xr:uid="{00000000-0005-0000-0000-0000AD010000}"/>
    <cellStyle name="Normal 3 2" xfId="275" xr:uid="{00000000-0005-0000-0000-0000AE010000}"/>
    <cellStyle name="Normal 3 3" xfId="381" xr:uid="{00000000-0005-0000-0000-0000AF010000}"/>
    <cellStyle name="Normal 3 4" xfId="397" xr:uid="{00000000-0005-0000-0000-0000B0010000}"/>
    <cellStyle name="Normal 3 5" xfId="404" xr:uid="{00000000-0005-0000-0000-0000B1010000}"/>
    <cellStyle name="Normal 3 6" xfId="409" xr:uid="{00000000-0005-0000-0000-0000B2010000}"/>
    <cellStyle name="Normal 3 7" xfId="414" xr:uid="{00000000-0005-0000-0000-0000B3010000}"/>
    <cellStyle name="Normal 3 8" xfId="484" xr:uid="{00000000-0005-0000-0000-0000B4010000}"/>
    <cellStyle name="Normal 3 9" xfId="490" xr:uid="{00000000-0005-0000-0000-0000B5010000}"/>
    <cellStyle name="Normal 4" xfId="90" xr:uid="{00000000-0005-0000-0000-0000B6010000}"/>
    <cellStyle name="Normal 5" xfId="91" xr:uid="{00000000-0005-0000-0000-0000B7010000}"/>
    <cellStyle name="Normal 5 2" xfId="277" xr:uid="{00000000-0005-0000-0000-0000B8010000}"/>
    <cellStyle name="Normal 6" xfId="92" xr:uid="{00000000-0005-0000-0000-0000B9010000}"/>
    <cellStyle name="Normal 6 10" xfId="497" xr:uid="{00000000-0005-0000-0000-0000BA010000}"/>
    <cellStyle name="Normal 6 2" xfId="278" xr:uid="{00000000-0005-0000-0000-0000BB010000}"/>
    <cellStyle name="Normal 6 2 10" xfId="498" xr:uid="{00000000-0005-0000-0000-0000BC010000}"/>
    <cellStyle name="Normal 6 2 2" xfId="279" xr:uid="{00000000-0005-0000-0000-0000BD010000}"/>
    <cellStyle name="Normal 6 2 3" xfId="385" xr:uid="{00000000-0005-0000-0000-0000BE010000}"/>
    <cellStyle name="Normal 6 2 4" xfId="399" xr:uid="{00000000-0005-0000-0000-0000BF010000}"/>
    <cellStyle name="Normal 6 2 5" xfId="406" xr:uid="{00000000-0005-0000-0000-0000C0010000}"/>
    <cellStyle name="Normal 6 2 6" xfId="411" xr:uid="{00000000-0005-0000-0000-0000C1010000}"/>
    <cellStyle name="Normal 6 2 7" xfId="416" xr:uid="{00000000-0005-0000-0000-0000C2010000}"/>
    <cellStyle name="Normal 6 2 8" xfId="486" xr:uid="{00000000-0005-0000-0000-0000C3010000}"/>
    <cellStyle name="Normal 6 2 9" xfId="492" xr:uid="{00000000-0005-0000-0000-0000C4010000}"/>
    <cellStyle name="Normal 6 3" xfId="384" xr:uid="{00000000-0005-0000-0000-0000C5010000}"/>
    <cellStyle name="Normal 6 4" xfId="398" xr:uid="{00000000-0005-0000-0000-0000C6010000}"/>
    <cellStyle name="Normal 6 5" xfId="405" xr:uid="{00000000-0005-0000-0000-0000C7010000}"/>
    <cellStyle name="Normal 6 6" xfId="410" xr:uid="{00000000-0005-0000-0000-0000C8010000}"/>
    <cellStyle name="Normal 6 7" xfId="415" xr:uid="{00000000-0005-0000-0000-0000C9010000}"/>
    <cellStyle name="Normal 6 8" xfId="485" xr:uid="{00000000-0005-0000-0000-0000CA010000}"/>
    <cellStyle name="Normal 6 9" xfId="491" xr:uid="{00000000-0005-0000-0000-0000CB010000}"/>
    <cellStyle name="Normal 7" xfId="93" xr:uid="{00000000-0005-0000-0000-0000CC010000}"/>
    <cellStyle name="Normal 8" xfId="94" xr:uid="{00000000-0005-0000-0000-0000CD010000}"/>
    <cellStyle name="Normal 9" xfId="111" xr:uid="{00000000-0005-0000-0000-0000CE010000}"/>
    <cellStyle name="Normal 9 2" xfId="117" xr:uid="{00000000-0005-0000-0000-0000CF010000}"/>
    <cellStyle name="Normal 9 3" xfId="418" xr:uid="{00000000-0005-0000-0000-0000D0010000}"/>
    <cellStyle name="Normal_6 NO ESKİ" xfId="501" xr:uid="{CBDAD134-2CFB-439D-BDA3-70B203EA2CDE}"/>
    <cellStyle name="Normal_Beycuma İş Takip Çizelgesi" xfId="95" xr:uid="{00000000-0005-0000-0000-0000D2010000}"/>
    <cellStyle name="Normal_G-KEŞİF" xfId="500" xr:uid="{3249F6AD-421B-4F8D-8BC1-4671ED68687A}"/>
    <cellStyle name="Normal_ÖRNEK KAPAK" xfId="110" xr:uid="{00000000-0005-0000-0000-0000D3010000}"/>
    <cellStyle name="Normal1" xfId="96" xr:uid="{00000000-0005-0000-0000-0000D7010000}"/>
    <cellStyle name="Normal2" xfId="280" xr:uid="{00000000-0005-0000-0000-0000D8010000}"/>
    <cellStyle name="Ôèíàíñîâûé [0]_PERSONAL" xfId="97" xr:uid="{00000000-0005-0000-0000-0000D9010000}"/>
    <cellStyle name="Ôèíàíñîâûé_PERSONAL" xfId="98" xr:uid="{00000000-0005-0000-0000-0000DA010000}"/>
    <cellStyle name="ØØ biç" xfId="99" xr:uid="{00000000-0005-0000-0000-0000DB010000}"/>
    <cellStyle name="ParaBirimi 2" xfId="100" xr:uid="{00000000-0005-0000-0000-0000DC010000}"/>
    <cellStyle name="ParaBirimi 2 10" xfId="499" xr:uid="{00000000-0005-0000-0000-0000DD010000}"/>
    <cellStyle name="ParaBirimi 2 2" xfId="281" xr:uid="{00000000-0005-0000-0000-0000DE010000}"/>
    <cellStyle name="ParaBirimi 2 3" xfId="387" xr:uid="{00000000-0005-0000-0000-0000DF010000}"/>
    <cellStyle name="ParaBirimi 2 4" xfId="400" xr:uid="{00000000-0005-0000-0000-0000E0010000}"/>
    <cellStyle name="ParaBirimi 2 5" xfId="407" xr:uid="{00000000-0005-0000-0000-0000E1010000}"/>
    <cellStyle name="ParaBirimi 2 6" xfId="412" xr:uid="{00000000-0005-0000-0000-0000E2010000}"/>
    <cellStyle name="ParaBirimi 2 7" xfId="417" xr:uid="{00000000-0005-0000-0000-0000E3010000}"/>
    <cellStyle name="ParaBirimi 2 8" xfId="487" xr:uid="{00000000-0005-0000-0000-0000E4010000}"/>
    <cellStyle name="ParaBirimi 2 9" xfId="493" xr:uid="{00000000-0005-0000-0000-0000E5010000}"/>
    <cellStyle name="ParaBirimi 3" xfId="101" xr:uid="{00000000-0005-0000-0000-0000E6010000}"/>
    <cellStyle name="Percent" xfId="282" xr:uid="{00000000-0005-0000-0000-0000E7010000}"/>
    <cellStyle name="Percent [2]" xfId="283" xr:uid="{00000000-0005-0000-0000-0000E8010000}"/>
    <cellStyle name="POZ" xfId="284" xr:uid="{00000000-0005-0000-0000-0000E9010000}"/>
    <cellStyle name="R" xfId="102" xr:uid="{00000000-0005-0000-0000-0000EA010000}"/>
    <cellStyle name="R_%90 KAPIKAYA HAKEDİŞ 3" xfId="103" xr:uid="{00000000-0005-0000-0000-0000EB010000}"/>
    <cellStyle name="R_RHAK23" xfId="104" xr:uid="{00000000-0005-0000-0000-0000EC010000}"/>
    <cellStyle name="R_RHAK23_%90 KAPIKAYA HAKEDİŞ 3" xfId="105" xr:uid="{00000000-0005-0000-0000-0000ED010000}"/>
    <cellStyle name="RAKAM" xfId="106" xr:uid="{00000000-0005-0000-0000-0000EE010000}"/>
    <cellStyle name="Standard_Modul1" xfId="285" xr:uid="{00000000-0005-0000-0000-0000EF010000}"/>
    <cellStyle name="Stil 1" xfId="286" xr:uid="{00000000-0005-0000-0000-0000F0010000}"/>
    <cellStyle name="TENZİLAT" xfId="107" xr:uid="{00000000-0005-0000-0000-0000F1010000}"/>
    <cellStyle name="TON" xfId="287" xr:uid="{00000000-0005-0000-0000-0000F2010000}"/>
    <cellStyle name="Total" xfId="288" xr:uid="{00000000-0005-0000-0000-0000F3010000}"/>
    <cellStyle name="Undefiniert" xfId="289" xr:uid="{00000000-0005-0000-0000-0000F4010000}"/>
    <cellStyle name="Virgül [0]_ Prestij HAK 5" xfId="108" xr:uid="{00000000-0005-0000-0000-0000F5010000}"/>
    <cellStyle name="Währung [0]_Software Project Status" xfId="290" xr:uid="{00000000-0005-0000-0000-0000F6010000}"/>
    <cellStyle name="Währung_Software Project Status" xfId="291" xr:uid="{00000000-0005-0000-0000-0000F7010000}"/>
    <cellStyle name="Yüzde 2" xfId="109" xr:uid="{00000000-0005-0000-0000-0000F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126963</xdr:rowOff>
    </xdr:from>
    <xdr:to>
      <xdr:col>5</xdr:col>
      <xdr:colOff>47625</xdr:colOff>
      <xdr:row>5</xdr:row>
      <xdr:rowOff>137195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126963"/>
          <a:ext cx="933450" cy="924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297180</xdr:colOff>
      <xdr:row>0</xdr:row>
      <xdr:rowOff>0</xdr:rowOff>
    </xdr:from>
    <xdr:to>
      <xdr:col>1</xdr:col>
      <xdr:colOff>593226</xdr:colOff>
      <xdr:row>1</xdr:row>
      <xdr:rowOff>496645</xdr:rowOff>
    </xdr:to>
    <xdr:pic>
      <xdr:nvPicPr>
        <xdr:cNvPr id="2" name="2 Resim" descr="kaski-logo.jpg">
          <a:extLst>
            <a:ext uri="{FF2B5EF4-FFF2-40B4-BE49-F238E27FC236}">
              <a16:creationId xmlns:a16="http://schemas.microsoft.com/office/drawing/2014/main" id="{EBA8F52D-8A88-4F10-809E-4EBF870A2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97180" y="0"/>
          <a:ext cx="684666" cy="6947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149087</xdr:colOff>
      <xdr:row>0</xdr:row>
      <xdr:rowOff>33131</xdr:rowOff>
    </xdr:from>
    <xdr:to>
      <xdr:col>1</xdr:col>
      <xdr:colOff>292733</xdr:colOff>
      <xdr:row>0</xdr:row>
      <xdr:rowOff>36358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9087" y="33131"/>
          <a:ext cx="687979" cy="694765"/>
        </a:xfrm>
        <a:prstGeom prst="rect">
          <a:avLst/>
        </a:prstGeom>
      </xdr:spPr>
    </xdr:pic>
    <xdr:clientData/>
  </xdr:twoCellAnchor>
  <xdr:twoCellAnchor editAs="oneCell">
    <xdr:from>
      <xdr:col>0</xdr:col>
      <xdr:colOff>173935</xdr:colOff>
      <xdr:row>0</xdr:row>
      <xdr:rowOff>41413</xdr:rowOff>
    </xdr:from>
    <xdr:to>
      <xdr:col>1</xdr:col>
      <xdr:colOff>249001</xdr:colOff>
      <xdr:row>3</xdr:row>
      <xdr:rowOff>164678</xdr:rowOff>
    </xdr:to>
    <xdr:pic>
      <xdr:nvPicPr>
        <xdr:cNvPr id="3" name="2 Resim" descr="kaski-logo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3935" y="41413"/>
          <a:ext cx="687979" cy="6947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123245</xdr:colOff>
      <xdr:row>0</xdr:row>
      <xdr:rowOff>40747</xdr:rowOff>
    </xdr:from>
    <xdr:to>
      <xdr:col>2</xdr:col>
      <xdr:colOff>247070</xdr:colOff>
      <xdr:row>2</xdr:row>
      <xdr:rowOff>152554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1865" y="40747"/>
          <a:ext cx="512445" cy="4318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229046</xdr:colOff>
      <xdr:row>0</xdr:row>
      <xdr:rowOff>18473</xdr:rowOff>
    </xdr:from>
    <xdr:to>
      <xdr:col>2</xdr:col>
      <xdr:colOff>241788</xdr:colOff>
      <xdr:row>3</xdr:row>
      <xdr:rowOff>1614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9046" y="18473"/>
          <a:ext cx="525627" cy="5523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190500</xdr:rowOff>
    </xdr:from>
    <xdr:to>
      <xdr:col>4</xdr:col>
      <xdr:colOff>125826</xdr:colOff>
      <xdr:row>6</xdr:row>
      <xdr:rowOff>129575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0975" y="161925"/>
          <a:ext cx="904875" cy="939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207064</xdr:colOff>
      <xdr:row>1</xdr:row>
      <xdr:rowOff>41412</xdr:rowOff>
    </xdr:from>
    <xdr:to>
      <xdr:col>1</xdr:col>
      <xdr:colOff>316730</xdr:colOff>
      <xdr:row>3</xdr:row>
      <xdr:rowOff>331305</xdr:rowOff>
    </xdr:to>
    <xdr:pic>
      <xdr:nvPicPr>
        <xdr:cNvPr id="2" name="1 Resim" descr="kaski-logo.jpg">
          <a:extLst>
            <a:ext uri="{FF2B5EF4-FFF2-40B4-BE49-F238E27FC236}">
              <a16:creationId xmlns:a16="http://schemas.microsoft.com/office/drawing/2014/main" id="{57F202DC-7E25-47A5-9816-D405D38FC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7064" y="241437"/>
          <a:ext cx="829756" cy="81376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17</xdr:row>
      <xdr:rowOff>0</xdr:rowOff>
    </xdr:from>
    <xdr:ext cx="3147391" cy="3478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Metin kutusu 3">
              <a:extLst>
                <a:ext uri="{FF2B5EF4-FFF2-40B4-BE49-F238E27FC236}">
                  <a16:creationId xmlns:a16="http://schemas.microsoft.com/office/drawing/2014/main" id="{6F947504-5C0F-4EFD-A684-2F05193418B8}"/>
                </a:ext>
              </a:extLst>
            </xdr:cNvPr>
            <xdr:cNvSpPr txBox="1"/>
          </xdr:nvSpPr>
          <xdr:spPr>
            <a:xfrm>
              <a:off x="0" y="4514022"/>
              <a:ext cx="3147391" cy="3478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tr-TR" sz="1100" b="0" i="1">
                        <a:latin typeface="Cambria Math" panose="02040503050406030204" pitchFamily="18" charset="0"/>
                      </a:rPr>
                      <m:t>𝑃𝑛</m:t>
                    </m:r>
                    <m:r>
                      <a:rPr lang="tr-TR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1+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tr-TR" sz="1100" b="0" i="1">
                        <a:latin typeface="Cambria Math" panose="02040503050406030204" pitchFamily="18" charset="0"/>
                      </a:rPr>
                      <m:t>2</m:t>
                    </m:r>
                    <m:f>
                      <m:fPr>
                        <m:ctrlPr>
                          <a:rPr lang="tr-TR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İ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num>
                      <m:den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İ</m:t>
                        </m:r>
                        <m:r>
                          <a:rPr lang="tr-TR" sz="1100" b="0" i="1">
                            <a:latin typeface="Cambria Math" panose="02040503050406030204" pitchFamily="18" charset="0"/>
                          </a:rPr>
                          <m:t>𝑜</m:t>
                        </m:r>
                      </m:den>
                    </m:f>
                    <m:r>
                      <a:rPr lang="tr-TR" sz="110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1</m:t>
                    </m:r>
                    <m:f>
                      <m:f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𝐴𝑌𝑛</m:t>
                        </m:r>
                      </m:num>
                      <m:den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𝐴𝑌𝑜</m:t>
                        </m:r>
                      </m:den>
                    </m:f>
                    <m:r>
                      <a:rPr lang="tr-T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2</m:t>
                    </m:r>
                    <m:f>
                      <m:f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𝑌𝑛</m:t>
                        </m:r>
                      </m:num>
                      <m:den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𝑌𝑜</m:t>
                        </m:r>
                      </m:den>
                    </m:f>
                    <m:r>
                      <a:rPr lang="tr-T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𝑏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3</m:t>
                    </m:r>
                    <m:f>
                      <m:f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𝐺𝑛</m:t>
                        </m:r>
                      </m:num>
                      <m:den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𝐺𝑜</m:t>
                        </m:r>
                      </m:den>
                    </m:f>
                    <m:r>
                      <a:rPr lang="tr-T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tr-T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f>
                      <m:fPr>
                        <m:ctrlPr>
                          <a:rPr lang="tr-T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𝑀𝑛</m:t>
                        </m:r>
                      </m:num>
                      <m:den>
                        <m:r>
                          <a:rPr lang="tr-T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𝑀𝑜</m:t>
                        </m:r>
                      </m:den>
                    </m:f>
                  </m:oMath>
                </m:oMathPara>
              </a14:m>
              <a:endParaRPr lang="tr-TR" sz="1100"/>
            </a:p>
          </xdr:txBody>
        </xdr:sp>
      </mc:Choice>
      <mc:Fallback xmlns="">
        <xdr:sp macro="" textlink="">
          <xdr:nvSpPr>
            <xdr:cNvPr id="4" name="Metin kutusu 3">
              <a:extLst>
                <a:ext uri="{FF2B5EF4-FFF2-40B4-BE49-F238E27FC236}">
                  <a16:creationId xmlns:a16="http://schemas.microsoft.com/office/drawing/2014/main" id="{6F947504-5C0F-4EFD-A684-2F05193418B8}"/>
                </a:ext>
              </a:extLst>
            </xdr:cNvPr>
            <xdr:cNvSpPr txBox="1"/>
          </xdr:nvSpPr>
          <xdr:spPr>
            <a:xfrm>
              <a:off x="0" y="4514022"/>
              <a:ext cx="3147391" cy="3478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tr-TR" sz="1100" b="0" i="0">
                  <a:latin typeface="Cambria Math" panose="02040503050406030204" pitchFamily="18" charset="0"/>
                </a:rPr>
                <a:t>𝑃𝑛</a:t>
              </a:r>
              <a:r>
                <a:rPr lang="tr-TR" sz="1100" i="0">
                  <a:latin typeface="Cambria Math" panose="02040503050406030204" pitchFamily="18" charset="0"/>
                </a:rPr>
                <a:t>=</a:t>
              </a:r>
              <a:r>
                <a:rPr lang="tr-TR" sz="1100" b="0" i="0">
                  <a:latin typeface="Cambria Math" panose="02040503050406030204" pitchFamily="18" charset="0"/>
                </a:rPr>
                <a:t>𝑎1</a:t>
              </a:r>
              <a:r>
                <a:rPr lang="tr-TR" sz="1100" i="0">
                  <a:latin typeface="Cambria Math" panose="02040503050406030204" pitchFamily="18" charset="0"/>
                </a:rPr>
                <a:t>+</a:t>
              </a:r>
              <a:r>
                <a:rPr lang="tr-TR" sz="1100" b="0" i="0">
                  <a:latin typeface="Cambria Math" panose="02040503050406030204" pitchFamily="18" charset="0"/>
                </a:rPr>
                <a:t>𝑎2 İ𝑛/İ𝑜</a:t>
              </a:r>
              <a:r>
                <a:rPr lang="tr-TR" sz="1100" i="0">
                  <a:latin typeface="Cambria Math" panose="02040503050406030204" pitchFamily="18" charset="0"/>
                </a:rPr>
                <a:t>+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𝑏1 𝐴𝑌𝑛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𝐴𝑌𝑜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𝑌𝑛/𝑌𝑜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𝑏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 𝐺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𝑛/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𝑜</a:t>
              </a:r>
              <a:r>
                <a:rPr lang="tr-T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 𝑀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𝑛/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𝑀</a:t>
              </a:r>
              <a:r>
                <a:rPr lang="tr-TR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𝑜</a:t>
              </a:r>
              <a:endParaRPr lang="tr-T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is Teması">
  <a:themeElements>
    <a:clrScheme name="Akış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4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9.bin"/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Relationship Id="rId4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2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1"/>
  <sheetViews>
    <sheetView tabSelected="1" zoomScale="120" zoomScaleNormal="120" zoomScaleSheetLayoutView="120" workbookViewId="0">
      <selection activeCell="A28" sqref="A28:N28"/>
    </sheetView>
  </sheetViews>
  <sheetFormatPr defaultRowHeight="14.4"/>
  <cols>
    <col min="1" max="2" width="6.77734375" customWidth="1"/>
    <col min="3" max="3" width="7.44140625" customWidth="1"/>
    <col min="4" max="14" width="5.77734375" customWidth="1"/>
  </cols>
  <sheetData>
    <row r="1" spans="1:14" ht="40.200000000000003" customHeight="1">
      <c r="A1" s="199" t="s">
        <v>195</v>
      </c>
      <c r="B1" s="200"/>
      <c r="C1" s="200"/>
      <c r="D1" s="190" t="s">
        <v>196</v>
      </c>
      <c r="E1" s="190"/>
      <c r="F1" s="190"/>
      <c r="G1" s="190"/>
      <c r="H1" s="190"/>
      <c r="I1" s="190"/>
      <c r="J1" s="190"/>
      <c r="K1" s="190"/>
      <c r="L1" s="190"/>
      <c r="M1" s="190"/>
      <c r="N1" s="191"/>
    </row>
    <row r="2" spans="1:14" ht="41.4" customHeight="1">
      <c r="A2" s="201" t="s">
        <v>1</v>
      </c>
      <c r="B2" s="202"/>
      <c r="C2" s="202"/>
      <c r="D2" s="188" t="s">
        <v>190</v>
      </c>
      <c r="E2" s="188"/>
      <c r="F2" s="188"/>
      <c r="G2" s="188"/>
      <c r="H2" s="188"/>
      <c r="I2" s="188"/>
      <c r="J2" s="188"/>
      <c r="K2" s="188"/>
      <c r="L2" s="188"/>
      <c r="M2" s="188"/>
      <c r="N2" s="189"/>
    </row>
    <row r="3" spans="1:14" ht="13.95" customHeight="1">
      <c r="A3" s="197" t="s">
        <v>5</v>
      </c>
      <c r="B3" s="198"/>
      <c r="C3" s="198"/>
      <c r="D3" s="188" t="s">
        <v>191</v>
      </c>
      <c r="E3" s="188"/>
      <c r="F3" s="188"/>
      <c r="G3" s="188"/>
      <c r="H3" s="188"/>
      <c r="I3" s="188"/>
      <c r="J3" s="188"/>
      <c r="K3" s="188"/>
      <c r="L3" s="188"/>
      <c r="M3" s="188"/>
      <c r="N3" s="189"/>
    </row>
    <row r="4" spans="1:14" ht="13.95" customHeight="1">
      <c r="A4" s="197" t="s">
        <v>15</v>
      </c>
      <c r="B4" s="198"/>
      <c r="C4" s="198"/>
      <c r="D4" s="188" t="s">
        <v>192</v>
      </c>
      <c r="E4" s="188"/>
      <c r="F4" s="188"/>
      <c r="G4" s="188"/>
      <c r="H4" s="188"/>
      <c r="I4" s="188"/>
      <c r="J4" s="188"/>
      <c r="K4" s="188"/>
      <c r="L4" s="188"/>
      <c r="M4" s="188"/>
      <c r="N4" s="189"/>
    </row>
    <row r="5" spans="1:14" ht="13.95" customHeight="1">
      <c r="A5" s="197" t="s">
        <v>6</v>
      </c>
      <c r="B5" s="198"/>
      <c r="C5" s="198"/>
      <c r="D5" s="192">
        <v>138289000</v>
      </c>
      <c r="E5" s="192"/>
      <c r="F5" s="192"/>
      <c r="G5" s="192"/>
      <c r="H5" s="192"/>
      <c r="I5" s="192"/>
      <c r="J5" s="192"/>
      <c r="K5" s="192"/>
      <c r="L5" s="192"/>
      <c r="M5" s="192"/>
      <c r="N5" s="193"/>
    </row>
    <row r="6" spans="1:14" ht="13.95" customHeight="1">
      <c r="A6" s="197" t="s">
        <v>4</v>
      </c>
      <c r="B6" s="198"/>
      <c r="C6" s="198"/>
      <c r="D6" s="180">
        <f>1-(D7/D5)</f>
        <v>0.16880000000000001</v>
      </c>
      <c r="E6" s="180"/>
      <c r="F6" s="180"/>
      <c r="G6" s="180"/>
      <c r="H6" s="180"/>
      <c r="I6" s="180"/>
      <c r="J6" s="180"/>
      <c r="K6" s="180"/>
      <c r="L6" s="180"/>
      <c r="M6" s="180"/>
      <c r="N6" s="181"/>
    </row>
    <row r="7" spans="1:14" ht="13.95" customHeight="1">
      <c r="A7" s="197" t="s">
        <v>151</v>
      </c>
      <c r="B7" s="198"/>
      <c r="C7" s="198"/>
      <c r="D7" s="182">
        <v>114950000</v>
      </c>
      <c r="E7" s="182"/>
      <c r="F7" s="182"/>
      <c r="G7" s="182"/>
      <c r="H7" s="182"/>
      <c r="I7" s="182"/>
      <c r="J7" s="182"/>
      <c r="K7" s="182"/>
      <c r="L7" s="182"/>
      <c r="M7" s="182"/>
      <c r="N7" s="183"/>
    </row>
    <row r="8" spans="1:14" ht="13.95" customHeight="1">
      <c r="A8" s="197" t="s">
        <v>7</v>
      </c>
      <c r="B8" s="198"/>
      <c r="C8" s="198"/>
      <c r="D8" s="184">
        <v>45964</v>
      </c>
      <c r="E8" s="184"/>
      <c r="F8" s="184"/>
      <c r="G8" s="184"/>
      <c r="H8" s="184"/>
      <c r="I8" s="184"/>
      <c r="J8" s="184"/>
      <c r="K8" s="184"/>
      <c r="L8" s="184"/>
      <c r="M8" s="184"/>
      <c r="N8" s="185"/>
    </row>
    <row r="9" spans="1:14" ht="13.95" customHeight="1">
      <c r="A9" s="197" t="s">
        <v>8</v>
      </c>
      <c r="B9" s="198"/>
      <c r="C9" s="198"/>
      <c r="D9" s="184">
        <v>46387</v>
      </c>
      <c r="E9" s="184"/>
      <c r="F9" s="184"/>
      <c r="G9" s="184"/>
      <c r="H9" s="184"/>
      <c r="I9" s="184"/>
      <c r="J9" s="184"/>
      <c r="K9" s="184"/>
      <c r="L9" s="184"/>
      <c r="M9" s="184"/>
      <c r="N9" s="185"/>
    </row>
    <row r="10" spans="1:14" ht="13.95" customHeight="1">
      <c r="A10" s="197" t="s">
        <v>9</v>
      </c>
      <c r="B10" s="198"/>
      <c r="C10" s="198"/>
      <c r="D10" s="186">
        <v>4</v>
      </c>
      <c r="E10" s="186"/>
      <c r="F10" s="186"/>
      <c r="G10" s="186"/>
      <c r="H10" s="186"/>
      <c r="I10" s="186"/>
      <c r="J10" s="186"/>
      <c r="K10" s="186"/>
      <c r="L10" s="186"/>
      <c r="M10" s="186"/>
      <c r="N10" s="187"/>
    </row>
    <row r="11" spans="1:14" ht="13.95" customHeight="1">
      <c r="A11" s="197" t="s">
        <v>193</v>
      </c>
      <c r="B11" s="198"/>
      <c r="C11" s="198"/>
      <c r="D11" s="176">
        <v>46081</v>
      </c>
      <c r="E11" s="176"/>
      <c r="F11" s="176"/>
      <c r="G11" s="176"/>
      <c r="H11" s="176"/>
      <c r="I11" s="176"/>
      <c r="J11" s="176"/>
      <c r="K11" s="176"/>
      <c r="L11" s="176"/>
      <c r="M11" s="176"/>
      <c r="N11" s="177"/>
    </row>
    <row r="12" spans="1:14" ht="13.95" customHeight="1">
      <c r="A12" s="197" t="s">
        <v>165</v>
      </c>
      <c r="B12" s="198"/>
      <c r="C12" s="198"/>
      <c r="D12" s="188" t="s">
        <v>228</v>
      </c>
      <c r="E12" s="188"/>
      <c r="F12" s="188"/>
      <c r="G12" s="188"/>
      <c r="H12" s="188"/>
      <c r="I12" s="188"/>
      <c r="J12" s="188"/>
      <c r="K12" s="188"/>
      <c r="L12" s="188"/>
      <c r="M12" s="188"/>
      <c r="N12" s="189"/>
    </row>
    <row r="13" spans="1:14" ht="13.95" customHeight="1">
      <c r="A13" s="197" t="s">
        <v>19</v>
      </c>
      <c r="B13" s="198"/>
      <c r="C13" s="198"/>
      <c r="D13" s="188" t="s">
        <v>229</v>
      </c>
      <c r="E13" s="188"/>
      <c r="F13" s="188"/>
      <c r="G13" s="188"/>
      <c r="H13" s="188"/>
      <c r="I13" s="188"/>
      <c r="J13" s="188"/>
      <c r="K13" s="188"/>
      <c r="L13" s="188"/>
      <c r="M13" s="188"/>
      <c r="N13" s="189"/>
    </row>
    <row r="14" spans="1:14" ht="13.95" customHeight="1">
      <c r="A14" s="197" t="s">
        <v>109</v>
      </c>
      <c r="B14" s="198"/>
      <c r="C14" s="198"/>
      <c r="D14" s="188" t="s">
        <v>230</v>
      </c>
      <c r="E14" s="188"/>
      <c r="F14" s="188"/>
      <c r="G14" s="188"/>
      <c r="H14" s="188"/>
      <c r="I14" s="188"/>
      <c r="J14" s="188"/>
      <c r="K14" s="188"/>
      <c r="L14" s="188"/>
      <c r="M14" s="188"/>
      <c r="N14" s="189"/>
    </row>
    <row r="15" spans="1:14" ht="13.95" customHeight="1">
      <c r="A15" s="197" t="s">
        <v>110</v>
      </c>
      <c r="B15" s="198"/>
      <c r="C15" s="198"/>
      <c r="D15" s="188" t="s">
        <v>231</v>
      </c>
      <c r="E15" s="188"/>
      <c r="F15" s="188"/>
      <c r="G15" s="188"/>
      <c r="H15" s="188"/>
      <c r="I15" s="188"/>
      <c r="J15" s="188"/>
      <c r="K15" s="188"/>
      <c r="L15" s="188"/>
      <c r="M15" s="188"/>
      <c r="N15" s="189"/>
    </row>
    <row r="16" spans="1:14" ht="13.95" customHeight="1">
      <c r="A16" s="197" t="s">
        <v>10</v>
      </c>
      <c r="B16" s="198"/>
      <c r="C16" s="198"/>
      <c r="D16" s="188" t="s">
        <v>180</v>
      </c>
      <c r="E16" s="188"/>
      <c r="F16" s="188"/>
      <c r="G16" s="188"/>
      <c r="H16" s="188"/>
      <c r="I16" s="188"/>
      <c r="J16" s="188"/>
      <c r="K16" s="188"/>
      <c r="L16" s="188"/>
      <c r="M16" s="188"/>
      <c r="N16" s="189"/>
    </row>
    <row r="17" spans="1:14" ht="13.95" customHeight="1">
      <c r="A17" s="197" t="s">
        <v>110</v>
      </c>
      <c r="B17" s="198"/>
      <c r="C17" s="198"/>
      <c r="D17" s="188" t="s">
        <v>176</v>
      </c>
      <c r="E17" s="188"/>
      <c r="F17" s="188"/>
      <c r="G17" s="188"/>
      <c r="H17" s="188"/>
      <c r="I17" s="188"/>
      <c r="J17" s="188"/>
      <c r="K17" s="188"/>
      <c r="L17" s="188"/>
      <c r="M17" s="188"/>
      <c r="N17" s="189"/>
    </row>
    <row r="18" spans="1:14" ht="13.95" customHeight="1">
      <c r="A18" s="197" t="s">
        <v>2</v>
      </c>
      <c r="B18" s="198"/>
      <c r="C18" s="198"/>
      <c r="D18" s="184">
        <v>45925</v>
      </c>
      <c r="E18" s="184"/>
      <c r="F18" s="184"/>
      <c r="G18" s="184"/>
      <c r="H18" s="184"/>
      <c r="I18" s="184"/>
      <c r="J18" s="184"/>
      <c r="K18" s="184"/>
      <c r="L18" s="184"/>
      <c r="M18" s="184"/>
      <c r="N18" s="185"/>
    </row>
    <row r="19" spans="1:14" ht="13.95" customHeight="1">
      <c r="A19" s="197" t="s">
        <v>11</v>
      </c>
      <c r="B19" s="198"/>
      <c r="C19" s="198"/>
      <c r="D19" s="184">
        <v>45966</v>
      </c>
      <c r="E19" s="184"/>
      <c r="F19" s="184"/>
      <c r="G19" s="184"/>
      <c r="H19" s="184"/>
      <c r="I19" s="184"/>
      <c r="J19" s="184"/>
      <c r="K19" s="184"/>
      <c r="L19" s="184"/>
      <c r="M19" s="184"/>
      <c r="N19" s="185"/>
    </row>
    <row r="20" spans="1:14" ht="13.95" customHeight="1">
      <c r="A20" s="197" t="s">
        <v>3</v>
      </c>
      <c r="B20" s="198"/>
      <c r="C20" s="198"/>
      <c r="D20" s="188">
        <v>422</v>
      </c>
      <c r="E20" s="188"/>
      <c r="F20" s="188"/>
      <c r="G20" s="188"/>
      <c r="H20" s="188"/>
      <c r="I20" s="188"/>
      <c r="J20" s="188"/>
      <c r="K20" s="188"/>
      <c r="L20" s="188"/>
      <c r="M20" s="188"/>
      <c r="N20" s="189"/>
    </row>
    <row r="21" spans="1:14" ht="13.95" customHeight="1">
      <c r="A21" s="197" t="s">
        <v>12</v>
      </c>
      <c r="B21" s="198"/>
      <c r="C21" s="198"/>
      <c r="D21" s="174">
        <v>42099240</v>
      </c>
      <c r="E21" s="174"/>
      <c r="F21" s="174"/>
      <c r="G21" s="174"/>
      <c r="H21" s="174"/>
      <c r="I21" s="174"/>
      <c r="J21" s="174"/>
      <c r="K21" s="174"/>
      <c r="L21" s="174"/>
      <c r="M21" s="174"/>
      <c r="N21" s="175"/>
    </row>
    <row r="22" spans="1:14" ht="13.95" customHeight="1">
      <c r="A22" s="197" t="s">
        <v>13</v>
      </c>
      <c r="B22" s="198"/>
      <c r="C22" s="198"/>
      <c r="D22" s="176">
        <v>46085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7"/>
    </row>
    <row r="23" spans="1:14" ht="13.95" customHeight="1">
      <c r="A23" s="197" t="s">
        <v>233</v>
      </c>
      <c r="B23" s="198"/>
      <c r="C23" s="198"/>
      <c r="D23" s="178" t="s">
        <v>255</v>
      </c>
      <c r="E23" s="178"/>
      <c r="F23" s="178"/>
      <c r="G23" s="178"/>
      <c r="H23" s="178"/>
      <c r="I23" s="178"/>
      <c r="J23" s="178"/>
      <c r="K23" s="178"/>
      <c r="L23" s="178"/>
      <c r="M23" s="178"/>
      <c r="N23" s="179"/>
    </row>
    <row r="24" spans="1:14" ht="13.95" customHeight="1">
      <c r="A24" s="197" t="s">
        <v>232</v>
      </c>
      <c r="B24" s="198"/>
      <c r="C24" s="198"/>
      <c r="D24" s="178" t="s">
        <v>270</v>
      </c>
      <c r="E24" s="178"/>
      <c r="F24" s="178"/>
      <c r="G24" s="178"/>
      <c r="H24" s="178"/>
      <c r="I24" s="178"/>
      <c r="J24" s="178"/>
      <c r="K24" s="178"/>
      <c r="L24" s="178"/>
      <c r="M24" s="178"/>
      <c r="N24" s="179"/>
    </row>
    <row r="25" spans="1:14" ht="13.95" customHeight="1">
      <c r="A25" s="172" t="s">
        <v>257</v>
      </c>
      <c r="B25" s="163"/>
      <c r="C25" s="162" t="s">
        <v>267</v>
      </c>
      <c r="D25" s="163"/>
      <c r="E25" s="162" t="s">
        <v>258</v>
      </c>
      <c r="F25" s="163"/>
      <c r="G25" s="162" t="s">
        <v>259</v>
      </c>
      <c r="H25" s="163"/>
      <c r="I25" s="162" t="s">
        <v>260</v>
      </c>
      <c r="J25" s="163"/>
      <c r="K25" s="162" t="s">
        <v>261</v>
      </c>
      <c r="L25" s="163"/>
      <c r="M25" s="162" t="s">
        <v>262</v>
      </c>
      <c r="N25" s="166"/>
    </row>
    <row r="26" spans="1:14">
      <c r="A26" s="173"/>
      <c r="B26" s="165"/>
      <c r="C26" s="164"/>
      <c r="D26" s="165"/>
      <c r="E26" s="164"/>
      <c r="F26" s="165"/>
      <c r="G26" s="164"/>
      <c r="H26" s="165"/>
      <c r="I26" s="164"/>
      <c r="J26" s="165"/>
      <c r="K26" s="164"/>
      <c r="L26" s="165"/>
      <c r="M26" s="164"/>
      <c r="N26" s="167"/>
    </row>
    <row r="27" spans="1:14" ht="18.600000000000001" customHeight="1" thickBot="1">
      <c r="A27" s="168">
        <v>0</v>
      </c>
      <c r="B27" s="169"/>
      <c r="C27" s="170">
        <v>0</v>
      </c>
      <c r="D27" s="169"/>
      <c r="E27" s="170">
        <v>0</v>
      </c>
      <c r="F27" s="169"/>
      <c r="G27" s="170">
        <v>0</v>
      </c>
      <c r="H27" s="169"/>
      <c r="I27" s="170">
        <v>0</v>
      </c>
      <c r="J27" s="169"/>
      <c r="K27" s="170">
        <v>0</v>
      </c>
      <c r="L27" s="169"/>
      <c r="M27" s="170">
        <v>0</v>
      </c>
      <c r="N27" s="171"/>
    </row>
    <row r="28" spans="1:14" ht="15" thickTop="1">
      <c r="A28" s="194" t="s">
        <v>263</v>
      </c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6"/>
    </row>
    <row r="29" spans="1:14" ht="22.8" customHeight="1">
      <c r="A29" s="158" t="s">
        <v>264</v>
      </c>
      <c r="B29" s="159"/>
      <c r="C29" s="159" t="s">
        <v>268</v>
      </c>
      <c r="D29" s="159"/>
      <c r="E29" s="159" t="s">
        <v>265</v>
      </c>
      <c r="F29" s="159"/>
      <c r="G29" s="159" t="s">
        <v>266</v>
      </c>
      <c r="H29" s="159"/>
      <c r="I29" s="153"/>
      <c r="J29" s="153"/>
      <c r="K29" s="153"/>
      <c r="L29" s="153"/>
      <c r="M29" s="153"/>
      <c r="N29" s="154"/>
    </row>
    <row r="30" spans="1:14" ht="20.399999999999999" customHeight="1" thickBot="1">
      <c r="A30" s="160">
        <v>33075.5</v>
      </c>
      <c r="B30" s="161"/>
      <c r="C30" s="155">
        <v>55.395380000000003</v>
      </c>
      <c r="D30" s="155"/>
      <c r="E30" s="155">
        <v>4910.53</v>
      </c>
      <c r="F30" s="155"/>
      <c r="G30" s="155">
        <v>3624.85</v>
      </c>
      <c r="H30" s="155"/>
      <c r="I30" s="156"/>
      <c r="J30" s="156"/>
      <c r="K30" s="156"/>
      <c r="L30" s="156"/>
      <c r="M30" s="156"/>
      <c r="N30" s="157"/>
    </row>
    <row r="31" spans="1:14">
      <c r="A31" s="148"/>
      <c r="B31" s="148"/>
      <c r="C31" s="148"/>
      <c r="D31" s="148"/>
      <c r="E31" s="148"/>
      <c r="F31" s="148"/>
      <c r="G31" s="148"/>
      <c r="H31" s="148"/>
    </row>
  </sheetData>
  <customSheetViews>
    <customSheetView guid="{99F77AB9-FA43-4D4B-9896-F712C1493A3C}">
      <selection sqref="A1:S1"/>
      <pageMargins left="0.7" right="0.7" top="0.75" bottom="0.75" header="0.3" footer="0.3"/>
      <pageSetup paperSize="9" orientation="portrait" verticalDpi="200" r:id="rId1"/>
    </customSheetView>
    <customSheetView guid="{C8BAC6B5-86E1-4F54-AEAC-1412291311FD}">
      <selection sqref="A1:S1"/>
      <pageMargins left="0.7" right="0.7" top="0.75" bottom="0.75" header="0.3" footer="0.3"/>
      <pageSetup paperSize="9" orientation="portrait" verticalDpi="200" r:id="rId2"/>
    </customSheetView>
  </customSheetViews>
  <mergeCells count="77">
    <mergeCell ref="A7:C7"/>
    <mergeCell ref="A4:C4"/>
    <mergeCell ref="A8:C8"/>
    <mergeCell ref="A23:C23"/>
    <mergeCell ref="A24:C24"/>
    <mergeCell ref="A11:C11"/>
    <mergeCell ref="A18:C18"/>
    <mergeCell ref="A19:C19"/>
    <mergeCell ref="A20:C20"/>
    <mergeCell ref="A21:C21"/>
    <mergeCell ref="A1:C1"/>
    <mergeCell ref="A2:C2"/>
    <mergeCell ref="A3:C3"/>
    <mergeCell ref="A5:C5"/>
    <mergeCell ref="A6:C6"/>
    <mergeCell ref="A28:N28"/>
    <mergeCell ref="A17:C17"/>
    <mergeCell ref="A9:C9"/>
    <mergeCell ref="A10:C10"/>
    <mergeCell ref="A12:C12"/>
    <mergeCell ref="A13:C13"/>
    <mergeCell ref="D11:N11"/>
    <mergeCell ref="D12:N12"/>
    <mergeCell ref="D13:N13"/>
    <mergeCell ref="D14:N14"/>
    <mergeCell ref="D15:N15"/>
    <mergeCell ref="A22:C22"/>
    <mergeCell ref="A14:C14"/>
    <mergeCell ref="A15:C15"/>
    <mergeCell ref="A16:C16"/>
    <mergeCell ref="D16:N16"/>
    <mergeCell ref="D1:N1"/>
    <mergeCell ref="D2:N2"/>
    <mergeCell ref="D3:N3"/>
    <mergeCell ref="D4:N4"/>
    <mergeCell ref="D5:N5"/>
    <mergeCell ref="D21:N21"/>
    <mergeCell ref="D22:N22"/>
    <mergeCell ref="D23:N23"/>
    <mergeCell ref="D24:N24"/>
    <mergeCell ref="D6:N6"/>
    <mergeCell ref="D7:N7"/>
    <mergeCell ref="D8:N8"/>
    <mergeCell ref="D9:N9"/>
    <mergeCell ref="D10:N10"/>
    <mergeCell ref="D17:N17"/>
    <mergeCell ref="D18:N18"/>
    <mergeCell ref="D19:N19"/>
    <mergeCell ref="D20:N20"/>
    <mergeCell ref="K25:L26"/>
    <mergeCell ref="M25:N26"/>
    <mergeCell ref="A27:B27"/>
    <mergeCell ref="C27:D27"/>
    <mergeCell ref="E27:F27"/>
    <mergeCell ref="G27:H27"/>
    <mergeCell ref="I27:J27"/>
    <mergeCell ref="K27:L27"/>
    <mergeCell ref="M27:N27"/>
    <mergeCell ref="A25:B26"/>
    <mergeCell ref="C25:D26"/>
    <mergeCell ref="E25:F26"/>
    <mergeCell ref="G25:H26"/>
    <mergeCell ref="I25:J26"/>
    <mergeCell ref="A29:B29"/>
    <mergeCell ref="A30:B30"/>
    <mergeCell ref="C29:D29"/>
    <mergeCell ref="E29:F29"/>
    <mergeCell ref="G29:H29"/>
    <mergeCell ref="I29:J29"/>
    <mergeCell ref="K29:L29"/>
    <mergeCell ref="M29:N29"/>
    <mergeCell ref="C30:D30"/>
    <mergeCell ref="E30:F30"/>
    <mergeCell ref="G30:H30"/>
    <mergeCell ref="I30:J30"/>
    <mergeCell ref="K30:L30"/>
    <mergeCell ref="M30:N30"/>
  </mergeCells>
  <phoneticPr fontId="99" type="noConversion"/>
  <pageMargins left="0.70866141732283472" right="0.70866141732283472" top="0.74803149606299213" bottom="0.74803149606299213" header="0.31496062992125984" footer="0.31496062992125984"/>
  <pageSetup paperSize="9" orientation="landscape" verticalDpi="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</sheetPr>
  <dimension ref="A1:BI59"/>
  <sheetViews>
    <sheetView zoomScaleNormal="100" zoomScaleSheetLayoutView="100" workbookViewId="0">
      <selection activeCell="AC26" sqref="AC26:AF27"/>
    </sheetView>
  </sheetViews>
  <sheetFormatPr defaultRowHeight="14.4"/>
  <cols>
    <col min="1" max="6" width="3" customWidth="1"/>
    <col min="7" max="23" width="3.109375" customWidth="1"/>
    <col min="24" max="24" width="4.44140625" customWidth="1"/>
    <col min="25" max="30" width="3.109375" customWidth="1"/>
    <col min="31" max="60" width="3" customWidth="1"/>
  </cols>
  <sheetData>
    <row r="1" spans="1:61" ht="15.6" customHeight="1">
      <c r="A1" s="335"/>
      <c r="B1" s="336"/>
      <c r="C1" s="336"/>
      <c r="D1" s="336"/>
      <c r="E1" s="336"/>
      <c r="F1" s="336"/>
      <c r="G1" s="339" t="str">
        <f>Bilgiler!D1</f>
        <v xml:space="preserve">T.C. 
KAHRAMANMARAŞ  SU VE KANALİZASYON İDARESİ GENEL MÜDÜRLÜĞÜ
ABONE İŞLERİ DAİRESİ BAŞKANLIĞI </v>
      </c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41" t="str">
        <f>Bilgiler!$D$2</f>
        <v>İl Geneli Mobil Okuma Cihazı Kullanarak On-Line ve Off-Line Sayaç Endeks Tespiti, Fatura Dağıtımı,Sayaç Mühürlenmesi, Sayaç Sökme-Takma, Su Kapama veya Su Açma, Sayaç Alımı ve Kaçak Tespiti Hizmeti</v>
      </c>
      <c r="W1" s="342"/>
      <c r="X1" s="342"/>
      <c r="Y1" s="342"/>
      <c r="Z1" s="342"/>
      <c r="AA1" s="342"/>
      <c r="AB1" s="342"/>
      <c r="AC1" s="342"/>
      <c r="AD1" s="342"/>
      <c r="AE1" s="342"/>
      <c r="AF1" s="342"/>
      <c r="AG1" s="342"/>
      <c r="AH1" s="342"/>
      <c r="AI1" s="342"/>
      <c r="AJ1" s="342"/>
      <c r="AK1" s="342"/>
      <c r="AL1" s="342"/>
      <c r="AM1" s="342"/>
      <c r="AN1" s="342"/>
      <c r="AO1" s="342"/>
      <c r="AP1" s="342"/>
      <c r="AQ1" s="342"/>
      <c r="AR1" s="342"/>
      <c r="AS1" s="342"/>
      <c r="AT1" s="343"/>
      <c r="AU1" s="307" t="s">
        <v>105</v>
      </c>
      <c r="AV1" s="308"/>
      <c r="AW1" s="308"/>
      <c r="AX1" s="308"/>
      <c r="AY1" s="308"/>
      <c r="AZ1" s="308"/>
      <c r="BA1" s="329"/>
      <c r="BB1" s="307">
        <f>Bilgiler!$D$10</f>
        <v>4</v>
      </c>
      <c r="BC1" s="308"/>
      <c r="BD1" s="308"/>
      <c r="BE1" s="308"/>
      <c r="BF1" s="308"/>
      <c r="BG1" s="308"/>
      <c r="BH1" s="309"/>
    </row>
    <row r="2" spans="1:61" ht="15.6" customHeight="1">
      <c r="A2" s="337"/>
      <c r="B2" s="338"/>
      <c r="C2" s="338"/>
      <c r="D2" s="338"/>
      <c r="E2" s="338"/>
      <c r="F2" s="338"/>
      <c r="G2" s="340"/>
      <c r="H2" s="340"/>
      <c r="I2" s="340"/>
      <c r="J2" s="340"/>
      <c r="K2" s="340"/>
      <c r="L2" s="340"/>
      <c r="M2" s="340"/>
      <c r="N2" s="340"/>
      <c r="O2" s="340"/>
      <c r="P2" s="340"/>
      <c r="Q2" s="340"/>
      <c r="R2" s="340"/>
      <c r="S2" s="340"/>
      <c r="T2" s="340"/>
      <c r="U2" s="340"/>
      <c r="V2" s="344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5"/>
      <c r="AO2" s="345"/>
      <c r="AP2" s="345"/>
      <c r="AQ2" s="345"/>
      <c r="AR2" s="345"/>
      <c r="AS2" s="345"/>
      <c r="AT2" s="346"/>
      <c r="AU2" s="310"/>
      <c r="AV2" s="311"/>
      <c r="AW2" s="311"/>
      <c r="AX2" s="311"/>
      <c r="AY2" s="311"/>
      <c r="AZ2" s="311"/>
      <c r="BA2" s="319"/>
      <c r="BB2" s="310"/>
      <c r="BC2" s="311"/>
      <c r="BD2" s="311"/>
      <c r="BE2" s="311"/>
      <c r="BF2" s="311"/>
      <c r="BG2" s="311"/>
      <c r="BH2" s="312"/>
    </row>
    <row r="3" spans="1:61" ht="15.6" customHeight="1">
      <c r="A3" s="337"/>
      <c r="B3" s="338"/>
      <c r="C3" s="338"/>
      <c r="D3" s="338"/>
      <c r="E3" s="338"/>
      <c r="F3" s="338"/>
      <c r="G3" s="340"/>
      <c r="H3" s="340"/>
      <c r="I3" s="340"/>
      <c r="J3" s="340"/>
      <c r="K3" s="340"/>
      <c r="L3" s="340"/>
      <c r="M3" s="340"/>
      <c r="N3" s="340"/>
      <c r="O3" s="340"/>
      <c r="P3" s="340"/>
      <c r="Q3" s="340"/>
      <c r="R3" s="340"/>
      <c r="S3" s="340"/>
      <c r="T3" s="340"/>
      <c r="U3" s="340"/>
      <c r="V3" s="325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326"/>
      <c r="AM3" s="326"/>
      <c r="AN3" s="326"/>
      <c r="AO3" s="326"/>
      <c r="AP3" s="326"/>
      <c r="AQ3" s="326"/>
      <c r="AR3" s="326"/>
      <c r="AS3" s="326"/>
      <c r="AT3" s="327"/>
      <c r="AU3" s="313"/>
      <c r="AV3" s="314"/>
      <c r="AW3" s="314"/>
      <c r="AX3" s="314"/>
      <c r="AY3" s="314"/>
      <c r="AZ3" s="314"/>
      <c r="BA3" s="320"/>
      <c r="BB3" s="313"/>
      <c r="BC3" s="314"/>
      <c r="BD3" s="314"/>
      <c r="BE3" s="314"/>
      <c r="BF3" s="314"/>
      <c r="BG3" s="314"/>
      <c r="BH3" s="315"/>
    </row>
    <row r="4" spans="1:61" ht="12.75" customHeight="1">
      <c r="A4" s="337"/>
      <c r="B4" s="338"/>
      <c r="C4" s="338"/>
      <c r="D4" s="338"/>
      <c r="E4" s="338"/>
      <c r="F4" s="338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7" t="s">
        <v>127</v>
      </c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47"/>
      <c r="AL4" s="347"/>
      <c r="AM4" s="347"/>
      <c r="AN4" s="347"/>
      <c r="AO4" s="347"/>
      <c r="AP4" s="347"/>
      <c r="AQ4" s="347"/>
      <c r="AR4" s="347"/>
      <c r="AS4" s="347"/>
      <c r="AT4" s="347"/>
      <c r="AU4" s="316" t="s">
        <v>128</v>
      </c>
      <c r="AV4" s="317"/>
      <c r="AW4" s="317"/>
      <c r="AX4" s="317"/>
      <c r="AY4" s="317"/>
      <c r="AZ4" s="317"/>
      <c r="BA4" s="318"/>
      <c r="BB4" s="316">
        <v>1</v>
      </c>
      <c r="BC4" s="317"/>
      <c r="BD4" s="317"/>
      <c r="BE4" s="317"/>
      <c r="BF4" s="317"/>
      <c r="BG4" s="317"/>
      <c r="BH4" s="321"/>
    </row>
    <row r="5" spans="1:61" ht="12.75" customHeight="1">
      <c r="A5" s="337"/>
      <c r="B5" s="338"/>
      <c r="C5" s="338"/>
      <c r="D5" s="338"/>
      <c r="E5" s="338"/>
      <c r="F5" s="338"/>
      <c r="G5" s="340"/>
      <c r="H5" s="340"/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7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47"/>
      <c r="AL5" s="347"/>
      <c r="AM5" s="347"/>
      <c r="AN5" s="347"/>
      <c r="AO5" s="347"/>
      <c r="AP5" s="347"/>
      <c r="AQ5" s="347"/>
      <c r="AR5" s="347"/>
      <c r="AS5" s="347"/>
      <c r="AT5" s="347"/>
      <c r="AU5" s="310"/>
      <c r="AV5" s="311"/>
      <c r="AW5" s="311"/>
      <c r="AX5" s="311"/>
      <c r="AY5" s="311"/>
      <c r="AZ5" s="311"/>
      <c r="BA5" s="319"/>
      <c r="BB5" s="310"/>
      <c r="BC5" s="311"/>
      <c r="BD5" s="311"/>
      <c r="BE5" s="311"/>
      <c r="BF5" s="311"/>
      <c r="BG5" s="311"/>
      <c r="BH5" s="312"/>
    </row>
    <row r="6" spans="1:61" ht="12.75" customHeight="1">
      <c r="A6" s="337"/>
      <c r="B6" s="338"/>
      <c r="C6" s="338"/>
      <c r="D6" s="338"/>
      <c r="E6" s="338"/>
      <c r="F6" s="338"/>
      <c r="G6" s="340"/>
      <c r="H6" s="340"/>
      <c r="I6" s="340"/>
      <c r="J6" s="340"/>
      <c r="K6" s="340"/>
      <c r="L6" s="340"/>
      <c r="M6" s="340"/>
      <c r="N6" s="340"/>
      <c r="O6" s="340"/>
      <c r="P6" s="340"/>
      <c r="Q6" s="340"/>
      <c r="R6" s="340"/>
      <c r="S6" s="340"/>
      <c r="T6" s="340"/>
      <c r="U6" s="340"/>
      <c r="V6" s="322" t="str">
        <f>Bilgiler!$D$3</f>
        <v>ER-SAN ELEKTRİK İNŞ. TAAH.TİC.LTD.ŞTİ.</v>
      </c>
      <c r="W6" s="323"/>
      <c r="X6" s="323"/>
      <c r="Y6" s="323"/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3"/>
      <c r="AM6" s="323"/>
      <c r="AN6" s="323"/>
      <c r="AO6" s="323"/>
      <c r="AP6" s="323"/>
      <c r="AQ6" s="323"/>
      <c r="AR6" s="323"/>
      <c r="AS6" s="323"/>
      <c r="AT6" s="324"/>
      <c r="AU6" s="310"/>
      <c r="AV6" s="311"/>
      <c r="AW6" s="311"/>
      <c r="AX6" s="311"/>
      <c r="AY6" s="311"/>
      <c r="AZ6" s="311"/>
      <c r="BA6" s="319"/>
      <c r="BB6" s="310"/>
      <c r="BC6" s="311"/>
      <c r="BD6" s="311"/>
      <c r="BE6" s="311"/>
      <c r="BF6" s="311"/>
      <c r="BG6" s="311"/>
      <c r="BH6" s="312"/>
    </row>
    <row r="7" spans="1:61" ht="12.75" customHeight="1">
      <c r="A7" s="337"/>
      <c r="B7" s="338"/>
      <c r="C7" s="338"/>
      <c r="D7" s="338"/>
      <c r="E7" s="338"/>
      <c r="F7" s="338"/>
      <c r="G7" s="340"/>
      <c r="H7" s="340"/>
      <c r="I7" s="340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325"/>
      <c r="W7" s="326"/>
      <c r="X7" s="326"/>
      <c r="Y7" s="326"/>
      <c r="Z7" s="326"/>
      <c r="AA7" s="326"/>
      <c r="AB7" s="326"/>
      <c r="AC7" s="326"/>
      <c r="AD7" s="326"/>
      <c r="AE7" s="326"/>
      <c r="AF7" s="326"/>
      <c r="AG7" s="326"/>
      <c r="AH7" s="326"/>
      <c r="AI7" s="326"/>
      <c r="AJ7" s="326"/>
      <c r="AK7" s="326"/>
      <c r="AL7" s="326"/>
      <c r="AM7" s="326"/>
      <c r="AN7" s="326"/>
      <c r="AO7" s="326"/>
      <c r="AP7" s="326"/>
      <c r="AQ7" s="326"/>
      <c r="AR7" s="326"/>
      <c r="AS7" s="326"/>
      <c r="AT7" s="327"/>
      <c r="AU7" s="313"/>
      <c r="AV7" s="314"/>
      <c r="AW7" s="314"/>
      <c r="AX7" s="314"/>
      <c r="AY7" s="314"/>
      <c r="AZ7" s="314"/>
      <c r="BA7" s="320"/>
      <c r="BB7" s="313"/>
      <c r="BC7" s="314"/>
      <c r="BD7" s="314"/>
      <c r="BE7" s="314"/>
      <c r="BF7" s="314"/>
      <c r="BG7" s="314"/>
      <c r="BH7" s="315"/>
    </row>
    <row r="8" spans="1:61" s="34" customFormat="1" ht="12.75" customHeight="1">
      <c r="A8" s="289"/>
      <c r="B8" s="290"/>
      <c r="C8" s="290"/>
      <c r="D8" s="290"/>
      <c r="E8" s="291" t="str">
        <f>BFTC!B5</f>
        <v>KASKİ-01</v>
      </c>
      <c r="F8" s="292"/>
      <c r="G8" s="292"/>
      <c r="H8" s="293"/>
      <c r="I8" s="291" t="str">
        <f>BFTC!B6</f>
        <v>KASKİ-02</v>
      </c>
      <c r="J8" s="292"/>
      <c r="K8" s="292"/>
      <c r="L8" s="293"/>
      <c r="M8" s="291" t="str">
        <f>BFTC!B7</f>
        <v>KASKİ-03</v>
      </c>
      <c r="N8" s="292"/>
      <c r="O8" s="292"/>
      <c r="P8" s="293"/>
      <c r="Q8" s="291" t="str">
        <f>BFTC!B8</f>
        <v>KASKİ-04</v>
      </c>
      <c r="R8" s="292"/>
      <c r="S8" s="292"/>
      <c r="T8" s="293"/>
      <c r="U8" s="291" t="str">
        <f>BFTC!B9</f>
        <v>KASKİ-05</v>
      </c>
      <c r="V8" s="292"/>
      <c r="W8" s="292"/>
      <c r="X8" s="293"/>
      <c r="Y8" s="291" t="str">
        <f>BFTC!B10</f>
        <v>KASKİ-06</v>
      </c>
      <c r="Z8" s="292"/>
      <c r="AA8" s="292"/>
      <c r="AB8" s="293"/>
      <c r="AC8" s="291" t="str">
        <f>BFTC!B11</f>
        <v>KASKİ-07</v>
      </c>
      <c r="AD8" s="292"/>
      <c r="AE8" s="292"/>
      <c r="AF8" s="293"/>
      <c r="AG8" s="291"/>
      <c r="AH8" s="292"/>
      <c r="AI8" s="292"/>
      <c r="AJ8" s="293"/>
      <c r="AK8" s="291"/>
      <c r="AL8" s="292"/>
      <c r="AM8" s="292"/>
      <c r="AN8" s="293"/>
      <c r="AO8" s="291"/>
      <c r="AP8" s="292"/>
      <c r="AQ8" s="292"/>
      <c r="AR8" s="293"/>
      <c r="AS8" s="291"/>
      <c r="AT8" s="292"/>
      <c r="AU8" s="292"/>
      <c r="AV8" s="293"/>
      <c r="AW8" s="291"/>
      <c r="AX8" s="292"/>
      <c r="AY8" s="292"/>
      <c r="AZ8" s="293"/>
      <c r="BA8" s="291"/>
      <c r="BB8" s="292"/>
      <c r="BC8" s="292"/>
      <c r="BD8" s="293"/>
      <c r="BE8" s="291"/>
      <c r="BF8" s="292"/>
      <c r="BG8" s="292"/>
      <c r="BH8" s="330"/>
      <c r="BI8" s="253"/>
    </row>
    <row r="9" spans="1:61" s="34" customFormat="1" ht="12.75" customHeight="1">
      <c r="A9" s="289"/>
      <c r="B9" s="290"/>
      <c r="C9" s="290"/>
      <c r="D9" s="290"/>
      <c r="E9" s="294"/>
      <c r="F9" s="295"/>
      <c r="G9" s="295"/>
      <c r="H9" s="296"/>
      <c r="I9" s="294"/>
      <c r="J9" s="295"/>
      <c r="K9" s="295"/>
      <c r="L9" s="296"/>
      <c r="M9" s="294"/>
      <c r="N9" s="295"/>
      <c r="O9" s="295"/>
      <c r="P9" s="296"/>
      <c r="Q9" s="294"/>
      <c r="R9" s="295"/>
      <c r="S9" s="295"/>
      <c r="T9" s="296"/>
      <c r="U9" s="294"/>
      <c r="V9" s="295"/>
      <c r="W9" s="295"/>
      <c r="X9" s="296"/>
      <c r="Y9" s="294"/>
      <c r="Z9" s="295"/>
      <c r="AA9" s="295"/>
      <c r="AB9" s="296"/>
      <c r="AC9" s="294"/>
      <c r="AD9" s="295"/>
      <c r="AE9" s="295"/>
      <c r="AF9" s="296"/>
      <c r="AG9" s="294"/>
      <c r="AH9" s="295"/>
      <c r="AI9" s="295"/>
      <c r="AJ9" s="296"/>
      <c r="AK9" s="294"/>
      <c r="AL9" s="295"/>
      <c r="AM9" s="295"/>
      <c r="AN9" s="296"/>
      <c r="AO9" s="294"/>
      <c r="AP9" s="295"/>
      <c r="AQ9" s="295"/>
      <c r="AR9" s="296"/>
      <c r="AS9" s="294"/>
      <c r="AT9" s="295"/>
      <c r="AU9" s="295"/>
      <c r="AV9" s="296"/>
      <c r="AW9" s="294"/>
      <c r="AX9" s="295"/>
      <c r="AY9" s="295"/>
      <c r="AZ9" s="296"/>
      <c r="BA9" s="294"/>
      <c r="BB9" s="295"/>
      <c r="BC9" s="295"/>
      <c r="BD9" s="296"/>
      <c r="BE9" s="294"/>
      <c r="BF9" s="295"/>
      <c r="BG9" s="295"/>
      <c r="BH9" s="331"/>
      <c r="BI9" s="253"/>
    </row>
    <row r="10" spans="1:61" s="34" customFormat="1" ht="12.75" customHeight="1">
      <c r="A10" s="289"/>
      <c r="B10" s="290"/>
      <c r="C10" s="290"/>
      <c r="D10" s="290"/>
      <c r="E10" s="297"/>
      <c r="F10" s="298"/>
      <c r="G10" s="298"/>
      <c r="H10" s="299"/>
      <c r="I10" s="297"/>
      <c r="J10" s="298"/>
      <c r="K10" s="298"/>
      <c r="L10" s="299"/>
      <c r="M10" s="297"/>
      <c r="N10" s="298"/>
      <c r="O10" s="298"/>
      <c r="P10" s="299"/>
      <c r="Q10" s="297"/>
      <c r="R10" s="298"/>
      <c r="S10" s="298"/>
      <c r="T10" s="299"/>
      <c r="U10" s="297"/>
      <c r="V10" s="298"/>
      <c r="W10" s="298"/>
      <c r="X10" s="299"/>
      <c r="Y10" s="297"/>
      <c r="Z10" s="298"/>
      <c r="AA10" s="298"/>
      <c r="AB10" s="299"/>
      <c r="AC10" s="297"/>
      <c r="AD10" s="298"/>
      <c r="AE10" s="298"/>
      <c r="AF10" s="299"/>
      <c r="AG10" s="297"/>
      <c r="AH10" s="298"/>
      <c r="AI10" s="298"/>
      <c r="AJ10" s="299"/>
      <c r="AK10" s="297"/>
      <c r="AL10" s="298"/>
      <c r="AM10" s="298"/>
      <c r="AN10" s="299"/>
      <c r="AO10" s="297"/>
      <c r="AP10" s="298"/>
      <c r="AQ10" s="298"/>
      <c r="AR10" s="299"/>
      <c r="AS10" s="297"/>
      <c r="AT10" s="298"/>
      <c r="AU10" s="298"/>
      <c r="AV10" s="299"/>
      <c r="AW10" s="297"/>
      <c r="AX10" s="298"/>
      <c r="AY10" s="298"/>
      <c r="AZ10" s="299"/>
      <c r="BA10" s="297"/>
      <c r="BB10" s="298"/>
      <c r="BC10" s="298"/>
      <c r="BD10" s="299"/>
      <c r="BE10" s="297"/>
      <c r="BF10" s="298"/>
      <c r="BG10" s="298"/>
      <c r="BH10" s="332"/>
      <c r="BI10" s="253"/>
    </row>
    <row r="11" spans="1:61" ht="12.75" customHeight="1">
      <c r="A11" s="372"/>
      <c r="B11" s="373"/>
      <c r="C11" s="373"/>
      <c r="D11" s="374"/>
      <c r="E11" s="280" t="str">
        <f>BFTC!C5</f>
        <v>Sayaç Endekslerinin Okunması, Mobil Okuma Cihazı İle Tespiti ve Makbuz Dağıtılması İşlemi</v>
      </c>
      <c r="F11" s="281"/>
      <c r="G11" s="281"/>
      <c r="H11" s="282"/>
      <c r="I11" s="280" t="str">
        <f>BFTC!C6</f>
        <v>Sayaç Endekslerinin Yerinde Yapılan Kontrollerde Tespit Edilememesi (kıyas okuma veya evde yok okuma) İşlemi</v>
      </c>
      <c r="J11" s="281"/>
      <c r="K11" s="281"/>
      <c r="L11" s="282"/>
      <c r="M11" s="280" t="str">
        <f>BFTC!C7</f>
        <v>Mühürsüz Sayaçların Mühürlemesi</v>
      </c>
      <c r="N11" s="281"/>
      <c r="O11" s="281"/>
      <c r="P11" s="282"/>
      <c r="Q11" s="254" t="str">
        <f>BFTC!C8</f>
        <v>Sayaç Sökme ve Sayaç Takma</v>
      </c>
      <c r="R11" s="254"/>
      <c r="S11" s="254"/>
      <c r="T11" s="254"/>
      <c r="U11" s="254" t="str">
        <f>BFTC!C9</f>
        <v>Su Kapama veya Su Açma</v>
      </c>
      <c r="V11" s="254"/>
      <c r="W11" s="254"/>
      <c r="X11" s="254"/>
      <c r="Y11" s="254" t="str">
        <f>BFTC!C10</f>
        <v>Sayaç Alımı (Teknik Şartnamede Özellikleri Belirtilen) DN20 190 MM</v>
      </c>
      <c r="Z11" s="254"/>
      <c r="AA11" s="254"/>
      <c r="AB11" s="254"/>
      <c r="AC11" s="254" t="str">
        <f>BFTC!C11</f>
        <v>İçme Suyu Hatlarında Sayaçlı Abonesiz, Sayaçsız ve Kaçak Kullanımın Tespit Edilmesi ve Raporlanması</v>
      </c>
      <c r="AD11" s="254"/>
      <c r="AE11" s="254"/>
      <c r="AF11" s="254"/>
      <c r="AG11" s="254"/>
      <c r="AH11" s="254"/>
      <c r="AI11" s="254"/>
      <c r="AJ11" s="254"/>
      <c r="AK11" s="254"/>
      <c r="AL11" s="254"/>
      <c r="AM11" s="254"/>
      <c r="AN11" s="254"/>
      <c r="AO11" s="254"/>
      <c r="AP11" s="254"/>
      <c r="AQ11" s="254"/>
      <c r="AR11" s="254"/>
      <c r="AS11" s="254"/>
      <c r="AT11" s="254"/>
      <c r="AU11" s="254"/>
      <c r="AV11" s="254"/>
      <c r="AW11" s="254"/>
      <c r="AX11" s="254"/>
      <c r="AY11" s="254"/>
      <c r="AZ11" s="254"/>
      <c r="BA11" s="254"/>
      <c r="BB11" s="254"/>
      <c r="BC11" s="254"/>
      <c r="BD11" s="254"/>
      <c r="BE11" s="254"/>
      <c r="BF11" s="254"/>
      <c r="BG11" s="254"/>
      <c r="BH11" s="255"/>
    </row>
    <row r="12" spans="1:61" ht="12.75" customHeight="1">
      <c r="A12" s="375"/>
      <c r="B12" s="376"/>
      <c r="C12" s="376"/>
      <c r="D12" s="377"/>
      <c r="E12" s="283"/>
      <c r="F12" s="284"/>
      <c r="G12" s="284"/>
      <c r="H12" s="285"/>
      <c r="I12" s="283"/>
      <c r="J12" s="284"/>
      <c r="K12" s="284"/>
      <c r="L12" s="285"/>
      <c r="M12" s="283"/>
      <c r="N12" s="284"/>
      <c r="O12" s="284"/>
      <c r="P12" s="285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4"/>
      <c r="AH12" s="254"/>
      <c r="AI12" s="254"/>
      <c r="AJ12" s="254"/>
      <c r="AK12" s="254"/>
      <c r="AL12" s="254"/>
      <c r="AM12" s="254"/>
      <c r="AN12" s="254"/>
      <c r="AO12" s="254"/>
      <c r="AP12" s="254"/>
      <c r="AQ12" s="254"/>
      <c r="AR12" s="254"/>
      <c r="AS12" s="254"/>
      <c r="AT12" s="254"/>
      <c r="AU12" s="254"/>
      <c r="AV12" s="254"/>
      <c r="AW12" s="254"/>
      <c r="AX12" s="254"/>
      <c r="AY12" s="254"/>
      <c r="AZ12" s="254"/>
      <c r="BA12" s="254"/>
      <c r="BB12" s="254"/>
      <c r="BC12" s="254"/>
      <c r="BD12" s="254"/>
      <c r="BE12" s="254"/>
      <c r="BF12" s="254"/>
      <c r="BG12" s="254"/>
      <c r="BH12" s="255"/>
    </row>
    <row r="13" spans="1:61" ht="12.75" customHeight="1">
      <c r="A13" s="375"/>
      <c r="B13" s="376"/>
      <c r="C13" s="376"/>
      <c r="D13" s="377"/>
      <c r="E13" s="283"/>
      <c r="F13" s="284"/>
      <c r="G13" s="284"/>
      <c r="H13" s="285"/>
      <c r="I13" s="283"/>
      <c r="J13" s="284"/>
      <c r="K13" s="284"/>
      <c r="L13" s="285"/>
      <c r="M13" s="283"/>
      <c r="N13" s="284"/>
      <c r="O13" s="284"/>
      <c r="P13" s="285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4"/>
      <c r="AH13" s="254"/>
      <c r="AI13" s="254"/>
      <c r="AJ13" s="254"/>
      <c r="AK13" s="254"/>
      <c r="AL13" s="254"/>
      <c r="AM13" s="254"/>
      <c r="AN13" s="254"/>
      <c r="AO13" s="254"/>
      <c r="AP13" s="254"/>
      <c r="AQ13" s="254"/>
      <c r="AR13" s="254"/>
      <c r="AS13" s="254"/>
      <c r="AT13" s="254"/>
      <c r="AU13" s="254"/>
      <c r="AV13" s="254"/>
      <c r="AW13" s="254"/>
      <c r="AX13" s="254"/>
      <c r="AY13" s="254"/>
      <c r="AZ13" s="254"/>
      <c r="BA13" s="254"/>
      <c r="BB13" s="254"/>
      <c r="BC13" s="254"/>
      <c r="BD13" s="254"/>
      <c r="BE13" s="254"/>
      <c r="BF13" s="254"/>
      <c r="BG13" s="254"/>
      <c r="BH13" s="255"/>
    </row>
    <row r="14" spans="1:61" ht="12.75" customHeight="1">
      <c r="A14" s="375"/>
      <c r="B14" s="376"/>
      <c r="C14" s="376"/>
      <c r="D14" s="377"/>
      <c r="E14" s="283"/>
      <c r="F14" s="284"/>
      <c r="G14" s="284"/>
      <c r="H14" s="285"/>
      <c r="I14" s="283"/>
      <c r="J14" s="284"/>
      <c r="K14" s="284"/>
      <c r="L14" s="285"/>
      <c r="M14" s="283"/>
      <c r="N14" s="284"/>
      <c r="O14" s="284"/>
      <c r="P14" s="285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4"/>
      <c r="AH14" s="254"/>
      <c r="AI14" s="254"/>
      <c r="AJ14" s="254"/>
      <c r="AK14" s="254"/>
      <c r="AL14" s="254"/>
      <c r="AM14" s="254"/>
      <c r="AN14" s="254"/>
      <c r="AO14" s="254"/>
      <c r="AP14" s="254"/>
      <c r="AQ14" s="254"/>
      <c r="AR14" s="254"/>
      <c r="AS14" s="254"/>
      <c r="AT14" s="254"/>
      <c r="AU14" s="254"/>
      <c r="AV14" s="254"/>
      <c r="AW14" s="254"/>
      <c r="AX14" s="254"/>
      <c r="AY14" s="254"/>
      <c r="AZ14" s="254"/>
      <c r="BA14" s="254"/>
      <c r="BB14" s="254"/>
      <c r="BC14" s="254"/>
      <c r="BD14" s="254"/>
      <c r="BE14" s="254"/>
      <c r="BF14" s="254"/>
      <c r="BG14" s="254"/>
      <c r="BH14" s="255"/>
    </row>
    <row r="15" spans="1:61" ht="12.75" customHeight="1">
      <c r="A15" s="375"/>
      <c r="B15" s="376"/>
      <c r="C15" s="376"/>
      <c r="D15" s="377"/>
      <c r="E15" s="283"/>
      <c r="F15" s="284"/>
      <c r="G15" s="284"/>
      <c r="H15" s="285"/>
      <c r="I15" s="283"/>
      <c r="J15" s="284"/>
      <c r="K15" s="284"/>
      <c r="L15" s="285"/>
      <c r="M15" s="283"/>
      <c r="N15" s="284"/>
      <c r="O15" s="284"/>
      <c r="P15" s="285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4"/>
      <c r="AH15" s="254"/>
      <c r="AI15" s="254"/>
      <c r="AJ15" s="254"/>
      <c r="AK15" s="254"/>
      <c r="AL15" s="254"/>
      <c r="AM15" s="254"/>
      <c r="AN15" s="254"/>
      <c r="AO15" s="254"/>
      <c r="AP15" s="254"/>
      <c r="AQ15" s="254"/>
      <c r="AR15" s="254"/>
      <c r="AS15" s="254"/>
      <c r="AT15" s="254"/>
      <c r="AU15" s="254"/>
      <c r="AV15" s="254"/>
      <c r="AW15" s="254"/>
      <c r="AX15" s="254"/>
      <c r="AY15" s="254"/>
      <c r="AZ15" s="254"/>
      <c r="BA15" s="254"/>
      <c r="BB15" s="254"/>
      <c r="BC15" s="254"/>
      <c r="BD15" s="254"/>
      <c r="BE15" s="254"/>
      <c r="BF15" s="254"/>
      <c r="BG15" s="254"/>
      <c r="BH15" s="255"/>
    </row>
    <row r="16" spans="1:61" ht="12.75" customHeight="1">
      <c r="A16" s="375"/>
      <c r="B16" s="376"/>
      <c r="C16" s="376"/>
      <c r="D16" s="377"/>
      <c r="E16" s="283"/>
      <c r="F16" s="284"/>
      <c r="G16" s="284"/>
      <c r="H16" s="285"/>
      <c r="I16" s="283"/>
      <c r="J16" s="284"/>
      <c r="K16" s="284"/>
      <c r="L16" s="285"/>
      <c r="M16" s="283"/>
      <c r="N16" s="284"/>
      <c r="O16" s="284"/>
      <c r="P16" s="285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4"/>
      <c r="AH16" s="254"/>
      <c r="AI16" s="254"/>
      <c r="AJ16" s="254"/>
      <c r="AK16" s="254"/>
      <c r="AL16" s="254"/>
      <c r="AM16" s="254"/>
      <c r="AN16" s="254"/>
      <c r="AO16" s="254"/>
      <c r="AP16" s="254"/>
      <c r="AQ16" s="254"/>
      <c r="AR16" s="254"/>
      <c r="AS16" s="254"/>
      <c r="AT16" s="254"/>
      <c r="AU16" s="254"/>
      <c r="AV16" s="254"/>
      <c r="AW16" s="254"/>
      <c r="AX16" s="254"/>
      <c r="AY16" s="254"/>
      <c r="AZ16" s="254"/>
      <c r="BA16" s="254"/>
      <c r="BB16" s="254"/>
      <c r="BC16" s="254"/>
      <c r="BD16" s="254"/>
      <c r="BE16" s="254"/>
      <c r="BF16" s="254"/>
      <c r="BG16" s="254"/>
      <c r="BH16" s="255"/>
    </row>
    <row r="17" spans="1:60" ht="12.75" customHeight="1">
      <c r="A17" s="375"/>
      <c r="B17" s="376"/>
      <c r="C17" s="376"/>
      <c r="D17" s="377"/>
      <c r="E17" s="283"/>
      <c r="F17" s="284"/>
      <c r="G17" s="284"/>
      <c r="H17" s="285"/>
      <c r="I17" s="283"/>
      <c r="J17" s="284"/>
      <c r="K17" s="284"/>
      <c r="L17" s="285"/>
      <c r="M17" s="283"/>
      <c r="N17" s="284"/>
      <c r="O17" s="284"/>
      <c r="P17" s="285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4"/>
      <c r="AH17" s="254"/>
      <c r="AI17" s="254"/>
      <c r="AJ17" s="254"/>
      <c r="AK17" s="254"/>
      <c r="AL17" s="254"/>
      <c r="AM17" s="254"/>
      <c r="AN17" s="254"/>
      <c r="AO17" s="254"/>
      <c r="AP17" s="254"/>
      <c r="AQ17" s="254"/>
      <c r="AR17" s="254"/>
      <c r="AS17" s="254"/>
      <c r="AT17" s="254"/>
      <c r="AU17" s="254"/>
      <c r="AV17" s="254"/>
      <c r="AW17" s="254"/>
      <c r="AX17" s="254"/>
      <c r="AY17" s="254"/>
      <c r="AZ17" s="254"/>
      <c r="BA17" s="254"/>
      <c r="BB17" s="254"/>
      <c r="BC17" s="254"/>
      <c r="BD17" s="254"/>
      <c r="BE17" s="254"/>
      <c r="BF17" s="254"/>
      <c r="BG17" s="254"/>
      <c r="BH17" s="255"/>
    </row>
    <row r="18" spans="1:60" ht="12.75" customHeight="1">
      <c r="A18" s="375"/>
      <c r="B18" s="376"/>
      <c r="C18" s="376"/>
      <c r="D18" s="377"/>
      <c r="E18" s="283"/>
      <c r="F18" s="284"/>
      <c r="G18" s="284"/>
      <c r="H18" s="285"/>
      <c r="I18" s="283"/>
      <c r="J18" s="284"/>
      <c r="K18" s="284"/>
      <c r="L18" s="285"/>
      <c r="M18" s="283"/>
      <c r="N18" s="284"/>
      <c r="O18" s="284"/>
      <c r="P18" s="285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4"/>
      <c r="AH18" s="254"/>
      <c r="AI18" s="254"/>
      <c r="AJ18" s="254"/>
      <c r="AK18" s="254"/>
      <c r="AL18" s="254"/>
      <c r="AM18" s="254"/>
      <c r="AN18" s="254"/>
      <c r="AO18" s="254"/>
      <c r="AP18" s="254"/>
      <c r="AQ18" s="254"/>
      <c r="AR18" s="254"/>
      <c r="AS18" s="254"/>
      <c r="AT18" s="254"/>
      <c r="AU18" s="254"/>
      <c r="AV18" s="254"/>
      <c r="AW18" s="254"/>
      <c r="AX18" s="254"/>
      <c r="AY18" s="254"/>
      <c r="AZ18" s="254"/>
      <c r="BA18" s="254"/>
      <c r="BB18" s="254"/>
      <c r="BC18" s="254"/>
      <c r="BD18" s="254"/>
      <c r="BE18" s="254"/>
      <c r="BF18" s="254"/>
      <c r="BG18" s="254"/>
      <c r="BH18" s="255"/>
    </row>
    <row r="19" spans="1:60" ht="12.75" customHeight="1">
      <c r="A19" s="375"/>
      <c r="B19" s="376"/>
      <c r="C19" s="376"/>
      <c r="D19" s="377"/>
      <c r="E19" s="283"/>
      <c r="F19" s="284"/>
      <c r="G19" s="284"/>
      <c r="H19" s="285"/>
      <c r="I19" s="283"/>
      <c r="J19" s="284"/>
      <c r="K19" s="284"/>
      <c r="L19" s="285"/>
      <c r="M19" s="283"/>
      <c r="N19" s="284"/>
      <c r="O19" s="284"/>
      <c r="P19" s="285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4"/>
      <c r="AH19" s="254"/>
      <c r="AI19" s="254"/>
      <c r="AJ19" s="254"/>
      <c r="AK19" s="254"/>
      <c r="AL19" s="254"/>
      <c r="AM19" s="254"/>
      <c r="AN19" s="254"/>
      <c r="AO19" s="254"/>
      <c r="AP19" s="254"/>
      <c r="AQ19" s="254"/>
      <c r="AR19" s="254"/>
      <c r="AS19" s="254"/>
      <c r="AT19" s="254"/>
      <c r="AU19" s="254"/>
      <c r="AV19" s="254"/>
      <c r="AW19" s="254"/>
      <c r="AX19" s="254"/>
      <c r="AY19" s="254"/>
      <c r="AZ19" s="254"/>
      <c r="BA19" s="254"/>
      <c r="BB19" s="254"/>
      <c r="BC19" s="254"/>
      <c r="BD19" s="254"/>
      <c r="BE19" s="254"/>
      <c r="BF19" s="254"/>
      <c r="BG19" s="254"/>
      <c r="BH19" s="255"/>
    </row>
    <row r="20" spans="1:60" ht="12.75" customHeight="1">
      <c r="A20" s="375"/>
      <c r="B20" s="376"/>
      <c r="C20" s="376"/>
      <c r="D20" s="377"/>
      <c r="E20" s="283"/>
      <c r="F20" s="284"/>
      <c r="G20" s="284"/>
      <c r="H20" s="285"/>
      <c r="I20" s="283"/>
      <c r="J20" s="284"/>
      <c r="K20" s="284"/>
      <c r="L20" s="285"/>
      <c r="M20" s="283"/>
      <c r="N20" s="284"/>
      <c r="O20" s="284"/>
      <c r="P20" s="285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4"/>
      <c r="AH20" s="254"/>
      <c r="AI20" s="254"/>
      <c r="AJ20" s="254"/>
      <c r="AK20" s="254"/>
      <c r="AL20" s="254"/>
      <c r="AM20" s="254"/>
      <c r="AN20" s="254"/>
      <c r="AO20" s="254"/>
      <c r="AP20" s="254"/>
      <c r="AQ20" s="254"/>
      <c r="AR20" s="254"/>
      <c r="AS20" s="254"/>
      <c r="AT20" s="254"/>
      <c r="AU20" s="254"/>
      <c r="AV20" s="254"/>
      <c r="AW20" s="254"/>
      <c r="AX20" s="254"/>
      <c r="AY20" s="254"/>
      <c r="AZ20" s="254"/>
      <c r="BA20" s="254"/>
      <c r="BB20" s="254"/>
      <c r="BC20" s="254"/>
      <c r="BD20" s="254"/>
      <c r="BE20" s="254"/>
      <c r="BF20" s="254"/>
      <c r="BG20" s="254"/>
      <c r="BH20" s="255"/>
    </row>
    <row r="21" spans="1:60" ht="12.75" customHeight="1">
      <c r="A21" s="378"/>
      <c r="B21" s="379"/>
      <c r="C21" s="379"/>
      <c r="D21" s="380"/>
      <c r="E21" s="286"/>
      <c r="F21" s="287"/>
      <c r="G21" s="287"/>
      <c r="H21" s="288"/>
      <c r="I21" s="286"/>
      <c r="J21" s="287"/>
      <c r="K21" s="287"/>
      <c r="L21" s="288"/>
      <c r="M21" s="286"/>
      <c r="N21" s="287"/>
      <c r="O21" s="287"/>
      <c r="P21" s="288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4"/>
      <c r="AH21" s="254"/>
      <c r="AI21" s="254"/>
      <c r="AJ21" s="254"/>
      <c r="AK21" s="254"/>
      <c r="AL21" s="254"/>
      <c r="AM21" s="254"/>
      <c r="AN21" s="254"/>
      <c r="AO21" s="254"/>
      <c r="AP21" s="254"/>
      <c r="AQ21" s="254"/>
      <c r="AR21" s="254"/>
      <c r="AS21" s="254"/>
      <c r="AT21" s="254"/>
      <c r="AU21" s="254"/>
      <c r="AV21" s="254"/>
      <c r="AW21" s="254"/>
      <c r="AX21" s="254"/>
      <c r="AY21" s="254"/>
      <c r="AZ21" s="254"/>
      <c r="BA21" s="254"/>
      <c r="BB21" s="254"/>
      <c r="BC21" s="254"/>
      <c r="BD21" s="254"/>
      <c r="BE21" s="254"/>
      <c r="BF21" s="254"/>
      <c r="BG21" s="254"/>
      <c r="BH21" s="255"/>
    </row>
    <row r="22" spans="1:60" ht="12.75" customHeight="1">
      <c r="A22" s="348" t="s">
        <v>129</v>
      </c>
      <c r="B22" s="349"/>
      <c r="C22" s="349"/>
      <c r="D22" s="349"/>
      <c r="E22" s="274" t="str">
        <f>IF(+E8=0,0,VLOOKUP(E8,BFTC!$B$5:$D$35,3,0))</f>
        <v>Adet</v>
      </c>
      <c r="F22" s="275"/>
      <c r="G22" s="275"/>
      <c r="H22" s="276"/>
      <c r="I22" s="274" t="str">
        <f>IF(+I8=0,0,VLOOKUP(I8,BFTC!$B$5:$D$35,3,0))</f>
        <v>Adet</v>
      </c>
      <c r="J22" s="275"/>
      <c r="K22" s="275"/>
      <c r="L22" s="276"/>
      <c r="M22" s="274" t="str">
        <f>IF(+M8=0,0,VLOOKUP(M8,BFTC!$B$5:$D$35,3,0))</f>
        <v>Adet</v>
      </c>
      <c r="N22" s="275"/>
      <c r="O22" s="275"/>
      <c r="P22" s="276"/>
      <c r="Q22" s="274" t="str">
        <f>IF(+Q8=0,0,VLOOKUP(Q8,BFTC!$B$5:$D$35,3,0))</f>
        <v>Adet</v>
      </c>
      <c r="R22" s="275"/>
      <c r="S22" s="275"/>
      <c r="T22" s="276"/>
      <c r="U22" s="274" t="str">
        <f>IF(+U8=0,0,VLOOKUP(U8,BFTC!$B$5:$D$35,3,0))</f>
        <v>Adet</v>
      </c>
      <c r="V22" s="275"/>
      <c r="W22" s="275"/>
      <c r="X22" s="276"/>
      <c r="Y22" s="274" t="str">
        <f>BFTC!D10</f>
        <v>Adet</v>
      </c>
      <c r="Z22" s="275"/>
      <c r="AA22" s="275"/>
      <c r="AB22" s="276"/>
      <c r="AC22" s="274" t="s">
        <v>107</v>
      </c>
      <c r="AD22" s="275"/>
      <c r="AE22" s="275"/>
      <c r="AF22" s="276"/>
      <c r="AG22" s="274"/>
      <c r="AH22" s="275"/>
      <c r="AI22" s="275"/>
      <c r="AJ22" s="276"/>
      <c r="AK22" s="274"/>
      <c r="AL22" s="275"/>
      <c r="AM22" s="275"/>
      <c r="AN22" s="276"/>
      <c r="AO22" s="274"/>
      <c r="AP22" s="275"/>
      <c r="AQ22" s="275"/>
      <c r="AR22" s="276"/>
      <c r="AS22" s="274"/>
      <c r="AT22" s="275"/>
      <c r="AU22" s="275"/>
      <c r="AV22" s="276"/>
      <c r="AW22" s="274"/>
      <c r="AX22" s="275"/>
      <c r="AY22" s="275"/>
      <c r="AZ22" s="276"/>
      <c r="BA22" s="274"/>
      <c r="BB22" s="275"/>
      <c r="BC22" s="275"/>
      <c r="BD22" s="276"/>
      <c r="BE22" s="274"/>
      <c r="BF22" s="275"/>
      <c r="BG22" s="275"/>
      <c r="BH22" s="333"/>
    </row>
    <row r="23" spans="1:60" ht="12.75" customHeight="1" thickBot="1">
      <c r="A23" s="350"/>
      <c r="B23" s="351"/>
      <c r="C23" s="351"/>
      <c r="D23" s="351"/>
      <c r="E23" s="277"/>
      <c r="F23" s="278"/>
      <c r="G23" s="278"/>
      <c r="H23" s="279"/>
      <c r="I23" s="277"/>
      <c r="J23" s="278"/>
      <c r="K23" s="278"/>
      <c r="L23" s="279"/>
      <c r="M23" s="277"/>
      <c r="N23" s="278"/>
      <c r="O23" s="278"/>
      <c r="P23" s="279"/>
      <c r="Q23" s="277"/>
      <c r="R23" s="278"/>
      <c r="S23" s="278"/>
      <c r="T23" s="279"/>
      <c r="U23" s="277"/>
      <c r="V23" s="278"/>
      <c r="W23" s="278"/>
      <c r="X23" s="279"/>
      <c r="Y23" s="277"/>
      <c r="Z23" s="278"/>
      <c r="AA23" s="278"/>
      <c r="AB23" s="279"/>
      <c r="AC23" s="277"/>
      <c r="AD23" s="278"/>
      <c r="AE23" s="278"/>
      <c r="AF23" s="279"/>
      <c r="AG23" s="277"/>
      <c r="AH23" s="278"/>
      <c r="AI23" s="278"/>
      <c r="AJ23" s="279"/>
      <c r="AK23" s="277"/>
      <c r="AL23" s="278"/>
      <c r="AM23" s="278"/>
      <c r="AN23" s="279"/>
      <c r="AO23" s="277"/>
      <c r="AP23" s="278"/>
      <c r="AQ23" s="278"/>
      <c r="AR23" s="279"/>
      <c r="AS23" s="277"/>
      <c r="AT23" s="278"/>
      <c r="AU23" s="278"/>
      <c r="AV23" s="279"/>
      <c r="AW23" s="277"/>
      <c r="AX23" s="278"/>
      <c r="AY23" s="278"/>
      <c r="AZ23" s="279"/>
      <c r="BA23" s="277"/>
      <c r="BB23" s="278"/>
      <c r="BC23" s="278"/>
      <c r="BD23" s="279"/>
      <c r="BE23" s="277"/>
      <c r="BF23" s="278"/>
      <c r="BG23" s="278"/>
      <c r="BH23" s="334"/>
    </row>
    <row r="24" spans="1:60" ht="12.75" customHeight="1">
      <c r="A24" s="300" t="s">
        <v>130</v>
      </c>
      <c r="B24" s="301"/>
      <c r="C24" s="301"/>
      <c r="D24" s="301"/>
      <c r="E24" s="268">
        <v>249153</v>
      </c>
      <c r="F24" s="269"/>
      <c r="G24" s="269"/>
      <c r="H24" s="270"/>
      <c r="I24" s="268">
        <v>26758</v>
      </c>
      <c r="J24" s="269"/>
      <c r="K24" s="269"/>
      <c r="L24" s="270"/>
      <c r="M24" s="268">
        <v>0</v>
      </c>
      <c r="N24" s="269"/>
      <c r="O24" s="269"/>
      <c r="P24" s="270"/>
      <c r="Q24" s="268">
        <v>3017</v>
      </c>
      <c r="R24" s="269"/>
      <c r="S24" s="269"/>
      <c r="T24" s="270"/>
      <c r="U24" s="268">
        <v>39448</v>
      </c>
      <c r="V24" s="269"/>
      <c r="W24" s="269"/>
      <c r="X24" s="270"/>
      <c r="Y24" s="268">
        <v>15000</v>
      </c>
      <c r="Z24" s="269"/>
      <c r="AA24" s="269"/>
      <c r="AB24" s="270"/>
      <c r="AC24" s="268">
        <v>1452</v>
      </c>
      <c r="AD24" s="269"/>
      <c r="AE24" s="269"/>
      <c r="AF24" s="270"/>
      <c r="AG24" s="256"/>
      <c r="AH24" s="257"/>
      <c r="AI24" s="257"/>
      <c r="AJ24" s="262"/>
      <c r="AK24" s="256"/>
      <c r="AL24" s="257"/>
      <c r="AM24" s="257"/>
      <c r="AN24" s="262"/>
      <c r="AO24" s="256"/>
      <c r="AP24" s="257"/>
      <c r="AQ24" s="257"/>
      <c r="AR24" s="262"/>
      <c r="AS24" s="256"/>
      <c r="AT24" s="257"/>
      <c r="AU24" s="257"/>
      <c r="AV24" s="262"/>
      <c r="AW24" s="256"/>
      <c r="AX24" s="257"/>
      <c r="AY24" s="257"/>
      <c r="AZ24" s="262"/>
      <c r="BA24" s="256"/>
      <c r="BB24" s="257"/>
      <c r="BC24" s="257"/>
      <c r="BD24" s="262"/>
      <c r="BE24" s="256"/>
      <c r="BF24" s="257"/>
      <c r="BG24" s="257"/>
      <c r="BH24" s="258"/>
    </row>
    <row r="25" spans="1:60" ht="13.95" customHeight="1" thickBot="1">
      <c r="A25" s="302"/>
      <c r="B25" s="303"/>
      <c r="C25" s="303"/>
      <c r="D25" s="303"/>
      <c r="E25" s="304"/>
      <c r="F25" s="305"/>
      <c r="G25" s="305"/>
      <c r="H25" s="306"/>
      <c r="I25" s="304"/>
      <c r="J25" s="305"/>
      <c r="K25" s="305"/>
      <c r="L25" s="306"/>
      <c r="M25" s="304"/>
      <c r="N25" s="305"/>
      <c r="O25" s="305"/>
      <c r="P25" s="306"/>
      <c r="Q25" s="304"/>
      <c r="R25" s="305"/>
      <c r="S25" s="305"/>
      <c r="T25" s="306"/>
      <c r="U25" s="304"/>
      <c r="V25" s="305"/>
      <c r="W25" s="305"/>
      <c r="X25" s="306"/>
      <c r="Y25" s="304"/>
      <c r="Z25" s="305"/>
      <c r="AA25" s="305"/>
      <c r="AB25" s="306"/>
      <c r="AC25" s="304"/>
      <c r="AD25" s="305"/>
      <c r="AE25" s="305"/>
      <c r="AF25" s="306"/>
      <c r="AG25" s="259"/>
      <c r="AH25" s="260"/>
      <c r="AI25" s="260"/>
      <c r="AJ25" s="328"/>
      <c r="AK25" s="259"/>
      <c r="AL25" s="260"/>
      <c r="AM25" s="260"/>
      <c r="AN25" s="328"/>
      <c r="AO25" s="259"/>
      <c r="AP25" s="260"/>
      <c r="AQ25" s="260"/>
      <c r="AR25" s="328"/>
      <c r="AS25" s="259"/>
      <c r="AT25" s="260"/>
      <c r="AU25" s="260"/>
      <c r="AV25" s="328"/>
      <c r="AW25" s="259"/>
      <c r="AX25" s="260"/>
      <c r="AY25" s="260"/>
      <c r="AZ25" s="328"/>
      <c r="BA25" s="259"/>
      <c r="BB25" s="260"/>
      <c r="BC25" s="260"/>
      <c r="BD25" s="328"/>
      <c r="BE25" s="259"/>
      <c r="BF25" s="260"/>
      <c r="BG25" s="260"/>
      <c r="BH25" s="261"/>
    </row>
    <row r="26" spans="1:60" ht="12.75" customHeight="1">
      <c r="A26" s="381"/>
      <c r="B26" s="382"/>
      <c r="C26" s="383">
        <v>1</v>
      </c>
      <c r="D26" s="382"/>
      <c r="E26" s="268">
        <f>Bilgiler!A27</f>
        <v>0</v>
      </c>
      <c r="F26" s="269"/>
      <c r="G26" s="269"/>
      <c r="H26" s="270"/>
      <c r="I26" s="268">
        <f>Bilgiler!C27</f>
        <v>0</v>
      </c>
      <c r="J26" s="269"/>
      <c r="K26" s="269"/>
      <c r="L26" s="270"/>
      <c r="M26" s="268">
        <f>Bilgiler!E27</f>
        <v>0</v>
      </c>
      <c r="N26" s="269"/>
      <c r="O26" s="269"/>
      <c r="P26" s="270"/>
      <c r="Q26" s="268">
        <f>Bilgiler!G27</f>
        <v>0</v>
      </c>
      <c r="R26" s="269"/>
      <c r="S26" s="269"/>
      <c r="T26" s="270"/>
      <c r="U26" s="268">
        <f>Bilgiler!I27</f>
        <v>0</v>
      </c>
      <c r="V26" s="269"/>
      <c r="W26" s="269"/>
      <c r="X26" s="270"/>
      <c r="Y26" s="268">
        <f>Bilgiler!K27</f>
        <v>0</v>
      </c>
      <c r="Z26" s="269"/>
      <c r="AA26" s="269"/>
      <c r="AB26" s="270"/>
      <c r="AC26" s="268">
        <f>Bilgiler!M27</f>
        <v>0</v>
      </c>
      <c r="AD26" s="269"/>
      <c r="AE26" s="269"/>
      <c r="AF26" s="270"/>
      <c r="AG26" s="256"/>
      <c r="AH26" s="257"/>
      <c r="AI26" s="257"/>
      <c r="AJ26" s="262"/>
      <c r="AK26" s="256"/>
      <c r="AL26" s="257"/>
      <c r="AM26" s="257"/>
      <c r="AN26" s="262"/>
      <c r="AO26" s="256"/>
      <c r="AP26" s="257"/>
      <c r="AQ26" s="257"/>
      <c r="AR26" s="262"/>
      <c r="AS26" s="256"/>
      <c r="AT26" s="257"/>
      <c r="AU26" s="257"/>
      <c r="AV26" s="262"/>
      <c r="AW26" s="256"/>
      <c r="AX26" s="257"/>
      <c r="AY26" s="257"/>
      <c r="AZ26" s="262"/>
      <c r="BA26" s="256"/>
      <c r="BB26" s="257"/>
      <c r="BC26" s="257"/>
      <c r="BD26" s="262"/>
      <c r="BE26" s="256"/>
      <c r="BF26" s="257"/>
      <c r="BG26" s="257"/>
      <c r="BH26" s="258"/>
    </row>
    <row r="27" spans="1:60" ht="12.75" customHeight="1">
      <c r="A27" s="215"/>
      <c r="B27" s="216"/>
      <c r="C27" s="217"/>
      <c r="D27" s="216"/>
      <c r="E27" s="271"/>
      <c r="F27" s="272"/>
      <c r="G27" s="272"/>
      <c r="H27" s="273"/>
      <c r="I27" s="271"/>
      <c r="J27" s="272"/>
      <c r="K27" s="272"/>
      <c r="L27" s="273"/>
      <c r="M27" s="271"/>
      <c r="N27" s="272"/>
      <c r="O27" s="272"/>
      <c r="P27" s="273"/>
      <c r="Q27" s="271"/>
      <c r="R27" s="272"/>
      <c r="S27" s="272"/>
      <c r="T27" s="273"/>
      <c r="U27" s="271"/>
      <c r="V27" s="272"/>
      <c r="W27" s="272"/>
      <c r="X27" s="273"/>
      <c r="Y27" s="271"/>
      <c r="Z27" s="272"/>
      <c r="AA27" s="272"/>
      <c r="AB27" s="273"/>
      <c r="AC27" s="271"/>
      <c r="AD27" s="272"/>
      <c r="AE27" s="272"/>
      <c r="AF27" s="273"/>
      <c r="AG27" s="242"/>
      <c r="AH27" s="243"/>
      <c r="AI27" s="243"/>
      <c r="AJ27" s="263"/>
      <c r="AK27" s="242"/>
      <c r="AL27" s="243"/>
      <c r="AM27" s="243"/>
      <c r="AN27" s="263"/>
      <c r="AO27" s="242"/>
      <c r="AP27" s="243"/>
      <c r="AQ27" s="243"/>
      <c r="AR27" s="263"/>
      <c r="AS27" s="242"/>
      <c r="AT27" s="243"/>
      <c r="AU27" s="243"/>
      <c r="AV27" s="263"/>
      <c r="AW27" s="242"/>
      <c r="AX27" s="243"/>
      <c r="AY27" s="243"/>
      <c r="AZ27" s="263"/>
      <c r="BA27" s="242"/>
      <c r="BB27" s="243"/>
      <c r="BC27" s="243"/>
      <c r="BD27" s="263"/>
      <c r="BE27" s="242"/>
      <c r="BF27" s="243"/>
      <c r="BG27" s="243"/>
      <c r="BH27" s="244"/>
    </row>
    <row r="28" spans="1:60" ht="12.75" customHeight="1">
      <c r="A28" s="215"/>
      <c r="B28" s="216"/>
      <c r="C28" s="217"/>
      <c r="D28" s="216"/>
      <c r="E28" s="226"/>
      <c r="F28" s="227"/>
      <c r="G28" s="227"/>
      <c r="H28" s="228"/>
      <c r="I28" s="226"/>
      <c r="J28" s="227"/>
      <c r="K28" s="227"/>
      <c r="L28" s="228"/>
      <c r="M28" s="226"/>
      <c r="N28" s="227"/>
      <c r="O28" s="227"/>
      <c r="P28" s="228"/>
      <c r="Q28" s="212"/>
      <c r="R28" s="213"/>
      <c r="S28" s="213"/>
      <c r="T28" s="214"/>
      <c r="U28" s="212"/>
      <c r="V28" s="213"/>
      <c r="W28" s="213"/>
      <c r="X28" s="214"/>
      <c r="Y28" s="212"/>
      <c r="Z28" s="213"/>
      <c r="AA28" s="213"/>
      <c r="AB28" s="214"/>
      <c r="AC28" s="206"/>
      <c r="AD28" s="207"/>
      <c r="AE28" s="207"/>
      <c r="AF28" s="208"/>
      <c r="AG28" s="206"/>
      <c r="AH28" s="207"/>
      <c r="AI28" s="207"/>
      <c r="AJ28" s="208"/>
      <c r="AK28" s="206"/>
      <c r="AL28" s="207"/>
      <c r="AM28" s="207"/>
      <c r="AN28" s="208"/>
      <c r="AO28" s="206"/>
      <c r="AP28" s="207"/>
      <c r="AQ28" s="207"/>
      <c r="AR28" s="208"/>
      <c r="AS28" s="206"/>
      <c r="AT28" s="207"/>
      <c r="AU28" s="207"/>
      <c r="AV28" s="208"/>
      <c r="AW28" s="206"/>
      <c r="AX28" s="207"/>
      <c r="AY28" s="207"/>
      <c r="AZ28" s="208"/>
      <c r="BA28" s="206"/>
      <c r="BB28" s="207"/>
      <c r="BC28" s="207"/>
      <c r="BD28" s="208"/>
      <c r="BE28" s="239"/>
      <c r="BF28" s="240"/>
      <c r="BG28" s="240"/>
      <c r="BH28" s="241"/>
    </row>
    <row r="29" spans="1:60" ht="15" customHeight="1">
      <c r="A29" s="215"/>
      <c r="B29" s="216"/>
      <c r="C29" s="217"/>
      <c r="D29" s="216"/>
      <c r="E29" s="229"/>
      <c r="F29" s="230"/>
      <c r="G29" s="230"/>
      <c r="H29" s="231"/>
      <c r="I29" s="229"/>
      <c r="J29" s="230"/>
      <c r="K29" s="230"/>
      <c r="L29" s="231"/>
      <c r="M29" s="229"/>
      <c r="N29" s="230"/>
      <c r="O29" s="230"/>
      <c r="P29" s="231"/>
      <c r="Q29" s="212"/>
      <c r="R29" s="213"/>
      <c r="S29" s="213"/>
      <c r="T29" s="214"/>
      <c r="U29" s="212"/>
      <c r="V29" s="213"/>
      <c r="W29" s="213"/>
      <c r="X29" s="214"/>
      <c r="Y29" s="212"/>
      <c r="Z29" s="213"/>
      <c r="AA29" s="213"/>
      <c r="AB29" s="214"/>
      <c r="AC29" s="206"/>
      <c r="AD29" s="207"/>
      <c r="AE29" s="207"/>
      <c r="AF29" s="208"/>
      <c r="AG29" s="206"/>
      <c r="AH29" s="207"/>
      <c r="AI29" s="207"/>
      <c r="AJ29" s="208"/>
      <c r="AK29" s="206"/>
      <c r="AL29" s="207"/>
      <c r="AM29" s="207"/>
      <c r="AN29" s="208"/>
      <c r="AO29" s="206"/>
      <c r="AP29" s="207"/>
      <c r="AQ29" s="207"/>
      <c r="AR29" s="208"/>
      <c r="AS29" s="206"/>
      <c r="AT29" s="207"/>
      <c r="AU29" s="207"/>
      <c r="AV29" s="208"/>
      <c r="AW29" s="206"/>
      <c r="AX29" s="207"/>
      <c r="AY29" s="207"/>
      <c r="AZ29" s="208"/>
      <c r="BA29" s="206"/>
      <c r="BB29" s="207"/>
      <c r="BC29" s="207"/>
      <c r="BD29" s="208"/>
      <c r="BE29" s="242"/>
      <c r="BF29" s="243"/>
      <c r="BG29" s="243"/>
      <c r="BH29" s="244"/>
    </row>
    <row r="30" spans="1:60" ht="15" customHeight="1">
      <c r="A30" s="215"/>
      <c r="B30" s="216"/>
      <c r="C30" s="217"/>
      <c r="D30" s="216"/>
      <c r="E30" s="226"/>
      <c r="F30" s="227"/>
      <c r="G30" s="227"/>
      <c r="H30" s="228"/>
      <c r="I30" s="226"/>
      <c r="J30" s="227"/>
      <c r="K30" s="227"/>
      <c r="L30" s="228"/>
      <c r="M30" s="226"/>
      <c r="N30" s="227"/>
      <c r="O30" s="227"/>
      <c r="P30" s="228"/>
      <c r="Q30" s="212"/>
      <c r="R30" s="213"/>
      <c r="S30" s="213"/>
      <c r="T30" s="214"/>
      <c r="U30" s="212"/>
      <c r="V30" s="213"/>
      <c r="W30" s="213"/>
      <c r="X30" s="214"/>
      <c r="Y30" s="212"/>
      <c r="Z30" s="213"/>
      <c r="AA30" s="213"/>
      <c r="AB30" s="214"/>
      <c r="AC30" s="206"/>
      <c r="AD30" s="207"/>
      <c r="AE30" s="207"/>
      <c r="AF30" s="208"/>
      <c r="AG30" s="206"/>
      <c r="AH30" s="207"/>
      <c r="AI30" s="207"/>
      <c r="AJ30" s="208"/>
      <c r="AK30" s="206"/>
      <c r="AL30" s="207"/>
      <c r="AM30" s="207"/>
      <c r="AN30" s="208"/>
      <c r="AO30" s="206"/>
      <c r="AP30" s="207"/>
      <c r="AQ30" s="207"/>
      <c r="AR30" s="208"/>
      <c r="AS30" s="206"/>
      <c r="AT30" s="207"/>
      <c r="AU30" s="207"/>
      <c r="AV30" s="208"/>
      <c r="AW30" s="206"/>
      <c r="AX30" s="207"/>
      <c r="AY30" s="207"/>
      <c r="AZ30" s="208"/>
      <c r="BA30" s="206"/>
      <c r="BB30" s="207"/>
      <c r="BC30" s="207"/>
      <c r="BD30" s="208"/>
      <c r="BE30" s="239"/>
      <c r="BF30" s="240"/>
      <c r="BG30" s="240"/>
      <c r="BH30" s="241"/>
    </row>
    <row r="31" spans="1:60" s="34" customFormat="1" ht="14.25" customHeight="1">
      <c r="A31" s="215"/>
      <c r="B31" s="216"/>
      <c r="C31" s="217"/>
      <c r="D31" s="216"/>
      <c r="E31" s="229"/>
      <c r="F31" s="230"/>
      <c r="G31" s="230"/>
      <c r="H31" s="231"/>
      <c r="I31" s="229"/>
      <c r="J31" s="230"/>
      <c r="K31" s="230"/>
      <c r="L31" s="231"/>
      <c r="M31" s="229"/>
      <c r="N31" s="230"/>
      <c r="O31" s="230"/>
      <c r="P31" s="231"/>
      <c r="Q31" s="212"/>
      <c r="R31" s="213"/>
      <c r="S31" s="213"/>
      <c r="T31" s="214"/>
      <c r="U31" s="212"/>
      <c r="V31" s="213"/>
      <c r="W31" s="213"/>
      <c r="X31" s="214"/>
      <c r="Y31" s="212"/>
      <c r="Z31" s="213"/>
      <c r="AA31" s="213"/>
      <c r="AB31" s="214"/>
      <c r="AC31" s="206"/>
      <c r="AD31" s="207"/>
      <c r="AE31" s="207"/>
      <c r="AF31" s="208"/>
      <c r="AG31" s="206"/>
      <c r="AH31" s="207"/>
      <c r="AI31" s="207"/>
      <c r="AJ31" s="208"/>
      <c r="AK31" s="206"/>
      <c r="AL31" s="207"/>
      <c r="AM31" s="207"/>
      <c r="AN31" s="208"/>
      <c r="AO31" s="206"/>
      <c r="AP31" s="207"/>
      <c r="AQ31" s="207"/>
      <c r="AR31" s="208"/>
      <c r="AS31" s="206"/>
      <c r="AT31" s="207"/>
      <c r="AU31" s="207"/>
      <c r="AV31" s="208"/>
      <c r="AW31" s="206"/>
      <c r="AX31" s="207"/>
      <c r="AY31" s="207"/>
      <c r="AZ31" s="208"/>
      <c r="BA31" s="206"/>
      <c r="BB31" s="207"/>
      <c r="BC31" s="207"/>
      <c r="BD31" s="208"/>
      <c r="BE31" s="242"/>
      <c r="BF31" s="243"/>
      <c r="BG31" s="243"/>
      <c r="BH31" s="244"/>
    </row>
    <row r="32" spans="1:60" s="34" customFormat="1" ht="14.25" customHeight="1">
      <c r="A32" s="215"/>
      <c r="B32" s="216"/>
      <c r="C32" s="217"/>
      <c r="D32" s="216"/>
      <c r="E32" s="226"/>
      <c r="F32" s="227"/>
      <c r="G32" s="227"/>
      <c r="H32" s="228"/>
      <c r="I32" s="226"/>
      <c r="J32" s="227"/>
      <c r="K32" s="227"/>
      <c r="L32" s="228"/>
      <c r="M32" s="226"/>
      <c r="N32" s="227"/>
      <c r="O32" s="227"/>
      <c r="P32" s="228"/>
      <c r="Q32" s="212"/>
      <c r="R32" s="213"/>
      <c r="S32" s="213"/>
      <c r="T32" s="214"/>
      <c r="U32" s="212"/>
      <c r="V32" s="213"/>
      <c r="W32" s="213"/>
      <c r="X32" s="214"/>
      <c r="Y32" s="212"/>
      <c r="Z32" s="213"/>
      <c r="AA32" s="213"/>
      <c r="AB32" s="214"/>
      <c r="AC32" s="206"/>
      <c r="AD32" s="207"/>
      <c r="AE32" s="207"/>
      <c r="AF32" s="208"/>
      <c r="AG32" s="206"/>
      <c r="AH32" s="207"/>
      <c r="AI32" s="207"/>
      <c r="AJ32" s="208"/>
      <c r="AK32" s="206"/>
      <c r="AL32" s="207"/>
      <c r="AM32" s="207"/>
      <c r="AN32" s="208"/>
      <c r="AO32" s="206"/>
      <c r="AP32" s="207"/>
      <c r="AQ32" s="207"/>
      <c r="AR32" s="208"/>
      <c r="AS32" s="206"/>
      <c r="AT32" s="207"/>
      <c r="AU32" s="207"/>
      <c r="AV32" s="208"/>
      <c r="AW32" s="206"/>
      <c r="AX32" s="207"/>
      <c r="AY32" s="207"/>
      <c r="AZ32" s="208"/>
      <c r="BA32" s="206"/>
      <c r="BB32" s="207"/>
      <c r="BC32" s="207"/>
      <c r="BD32" s="208"/>
      <c r="BE32" s="239"/>
      <c r="BF32" s="240"/>
      <c r="BG32" s="240"/>
      <c r="BH32" s="241"/>
    </row>
    <row r="33" spans="1:60" ht="12.75" customHeight="1">
      <c r="A33" s="215"/>
      <c r="B33" s="216"/>
      <c r="C33" s="217"/>
      <c r="D33" s="216"/>
      <c r="E33" s="229"/>
      <c r="F33" s="230"/>
      <c r="G33" s="230"/>
      <c r="H33" s="231"/>
      <c r="I33" s="229"/>
      <c r="J33" s="230"/>
      <c r="K33" s="230"/>
      <c r="L33" s="231"/>
      <c r="M33" s="229"/>
      <c r="N33" s="230"/>
      <c r="O33" s="230"/>
      <c r="P33" s="231"/>
      <c r="Q33" s="212"/>
      <c r="R33" s="213"/>
      <c r="S33" s="213"/>
      <c r="T33" s="214"/>
      <c r="U33" s="212"/>
      <c r="V33" s="213"/>
      <c r="W33" s="213"/>
      <c r="X33" s="214"/>
      <c r="Y33" s="212"/>
      <c r="Z33" s="213"/>
      <c r="AA33" s="213"/>
      <c r="AB33" s="214"/>
      <c r="AC33" s="206"/>
      <c r="AD33" s="207"/>
      <c r="AE33" s="207"/>
      <c r="AF33" s="208"/>
      <c r="AG33" s="206"/>
      <c r="AH33" s="207"/>
      <c r="AI33" s="207"/>
      <c r="AJ33" s="208"/>
      <c r="AK33" s="206"/>
      <c r="AL33" s="207"/>
      <c r="AM33" s="207"/>
      <c r="AN33" s="208"/>
      <c r="AO33" s="206"/>
      <c r="AP33" s="207"/>
      <c r="AQ33" s="207"/>
      <c r="AR33" s="208"/>
      <c r="AS33" s="206"/>
      <c r="AT33" s="207"/>
      <c r="AU33" s="207"/>
      <c r="AV33" s="208"/>
      <c r="AW33" s="206"/>
      <c r="AX33" s="207"/>
      <c r="AY33" s="207"/>
      <c r="AZ33" s="208"/>
      <c r="BA33" s="206"/>
      <c r="BB33" s="207"/>
      <c r="BC33" s="207"/>
      <c r="BD33" s="208"/>
      <c r="BE33" s="242"/>
      <c r="BF33" s="243"/>
      <c r="BG33" s="243"/>
      <c r="BH33" s="244"/>
    </row>
    <row r="34" spans="1:60" ht="12.75" customHeight="1">
      <c r="A34" s="215"/>
      <c r="B34" s="216"/>
      <c r="C34" s="217"/>
      <c r="D34" s="216"/>
      <c r="E34" s="226"/>
      <c r="F34" s="227"/>
      <c r="G34" s="227"/>
      <c r="H34" s="228"/>
      <c r="I34" s="226"/>
      <c r="J34" s="227"/>
      <c r="K34" s="227"/>
      <c r="L34" s="228"/>
      <c r="M34" s="226"/>
      <c r="N34" s="227"/>
      <c r="O34" s="227"/>
      <c r="P34" s="228"/>
      <c r="Q34" s="212"/>
      <c r="R34" s="213"/>
      <c r="S34" s="213"/>
      <c r="T34" s="214"/>
      <c r="U34" s="212"/>
      <c r="V34" s="213"/>
      <c r="W34" s="213"/>
      <c r="X34" s="214"/>
      <c r="Y34" s="212"/>
      <c r="Z34" s="213"/>
      <c r="AA34" s="213"/>
      <c r="AB34" s="214"/>
      <c r="AC34" s="206"/>
      <c r="AD34" s="207"/>
      <c r="AE34" s="207"/>
      <c r="AF34" s="208"/>
      <c r="AG34" s="206"/>
      <c r="AH34" s="207"/>
      <c r="AI34" s="207"/>
      <c r="AJ34" s="208"/>
      <c r="AK34" s="206"/>
      <c r="AL34" s="207"/>
      <c r="AM34" s="207"/>
      <c r="AN34" s="208"/>
      <c r="AO34" s="206"/>
      <c r="AP34" s="207"/>
      <c r="AQ34" s="207"/>
      <c r="AR34" s="208"/>
      <c r="AS34" s="206"/>
      <c r="AT34" s="207"/>
      <c r="AU34" s="207"/>
      <c r="AV34" s="208"/>
      <c r="AW34" s="206"/>
      <c r="AX34" s="207"/>
      <c r="AY34" s="207"/>
      <c r="AZ34" s="208"/>
      <c r="BA34" s="206"/>
      <c r="BB34" s="207"/>
      <c r="BC34" s="207"/>
      <c r="BD34" s="208"/>
      <c r="BE34" s="239"/>
      <c r="BF34" s="240"/>
      <c r="BG34" s="240"/>
      <c r="BH34" s="241"/>
    </row>
    <row r="35" spans="1:60" ht="12.75" customHeight="1">
      <c r="A35" s="215"/>
      <c r="B35" s="216"/>
      <c r="C35" s="217"/>
      <c r="D35" s="216"/>
      <c r="E35" s="229"/>
      <c r="F35" s="230"/>
      <c r="G35" s="230"/>
      <c r="H35" s="231"/>
      <c r="I35" s="229"/>
      <c r="J35" s="230"/>
      <c r="K35" s="230"/>
      <c r="L35" s="231"/>
      <c r="M35" s="229"/>
      <c r="N35" s="230"/>
      <c r="O35" s="230"/>
      <c r="P35" s="231"/>
      <c r="Q35" s="212"/>
      <c r="R35" s="213"/>
      <c r="S35" s="213"/>
      <c r="T35" s="214"/>
      <c r="U35" s="212"/>
      <c r="V35" s="213"/>
      <c r="W35" s="213"/>
      <c r="X35" s="214"/>
      <c r="Y35" s="212"/>
      <c r="Z35" s="213"/>
      <c r="AA35" s="213"/>
      <c r="AB35" s="214"/>
      <c r="AC35" s="206"/>
      <c r="AD35" s="207"/>
      <c r="AE35" s="207"/>
      <c r="AF35" s="208"/>
      <c r="AG35" s="206"/>
      <c r="AH35" s="207"/>
      <c r="AI35" s="207"/>
      <c r="AJ35" s="208"/>
      <c r="AK35" s="206"/>
      <c r="AL35" s="207"/>
      <c r="AM35" s="207"/>
      <c r="AN35" s="208"/>
      <c r="AO35" s="206"/>
      <c r="AP35" s="207"/>
      <c r="AQ35" s="207"/>
      <c r="AR35" s="208"/>
      <c r="AS35" s="206"/>
      <c r="AT35" s="207"/>
      <c r="AU35" s="207"/>
      <c r="AV35" s="208"/>
      <c r="AW35" s="206"/>
      <c r="AX35" s="207"/>
      <c r="AY35" s="207"/>
      <c r="AZ35" s="208"/>
      <c r="BA35" s="206"/>
      <c r="BB35" s="207"/>
      <c r="BC35" s="207"/>
      <c r="BD35" s="208"/>
      <c r="BE35" s="242"/>
      <c r="BF35" s="243"/>
      <c r="BG35" s="243"/>
      <c r="BH35" s="244"/>
    </row>
    <row r="36" spans="1:60" ht="12.75" customHeight="1">
      <c r="A36" s="215"/>
      <c r="B36" s="216"/>
      <c r="C36" s="217"/>
      <c r="D36" s="216"/>
      <c r="E36" s="226"/>
      <c r="F36" s="227"/>
      <c r="G36" s="227"/>
      <c r="H36" s="228"/>
      <c r="I36" s="226"/>
      <c r="J36" s="227"/>
      <c r="K36" s="227"/>
      <c r="L36" s="228"/>
      <c r="M36" s="226"/>
      <c r="N36" s="227"/>
      <c r="O36" s="227"/>
      <c r="P36" s="228"/>
      <c r="Q36" s="212"/>
      <c r="R36" s="213"/>
      <c r="S36" s="213"/>
      <c r="T36" s="214"/>
      <c r="U36" s="212"/>
      <c r="V36" s="213"/>
      <c r="W36" s="213"/>
      <c r="X36" s="214"/>
      <c r="Y36" s="212"/>
      <c r="Z36" s="213"/>
      <c r="AA36" s="213"/>
      <c r="AB36" s="214"/>
      <c r="AC36" s="206"/>
      <c r="AD36" s="207"/>
      <c r="AE36" s="207"/>
      <c r="AF36" s="208"/>
      <c r="AG36" s="206"/>
      <c r="AH36" s="207"/>
      <c r="AI36" s="207"/>
      <c r="AJ36" s="208"/>
      <c r="AK36" s="206"/>
      <c r="AL36" s="207"/>
      <c r="AM36" s="207"/>
      <c r="AN36" s="208"/>
      <c r="AO36" s="206"/>
      <c r="AP36" s="207"/>
      <c r="AQ36" s="207"/>
      <c r="AR36" s="208"/>
      <c r="AS36" s="206"/>
      <c r="AT36" s="207"/>
      <c r="AU36" s="207"/>
      <c r="AV36" s="208"/>
      <c r="AW36" s="206"/>
      <c r="AX36" s="207"/>
      <c r="AY36" s="207"/>
      <c r="AZ36" s="208"/>
      <c r="BA36" s="206"/>
      <c r="BB36" s="207"/>
      <c r="BC36" s="207"/>
      <c r="BD36" s="208"/>
      <c r="BE36" s="239"/>
      <c r="BF36" s="240"/>
      <c r="BG36" s="240"/>
      <c r="BH36" s="241"/>
    </row>
    <row r="37" spans="1:60" ht="12.75" customHeight="1">
      <c r="A37" s="215"/>
      <c r="B37" s="216"/>
      <c r="C37" s="217"/>
      <c r="D37" s="216"/>
      <c r="E37" s="229"/>
      <c r="F37" s="230"/>
      <c r="G37" s="230"/>
      <c r="H37" s="231"/>
      <c r="I37" s="229"/>
      <c r="J37" s="230"/>
      <c r="K37" s="230"/>
      <c r="L37" s="231"/>
      <c r="M37" s="229"/>
      <c r="N37" s="230"/>
      <c r="O37" s="230"/>
      <c r="P37" s="231"/>
      <c r="Q37" s="212"/>
      <c r="R37" s="213"/>
      <c r="S37" s="213"/>
      <c r="T37" s="214"/>
      <c r="U37" s="212"/>
      <c r="V37" s="213"/>
      <c r="W37" s="213"/>
      <c r="X37" s="214"/>
      <c r="Y37" s="212"/>
      <c r="Z37" s="213"/>
      <c r="AA37" s="213"/>
      <c r="AB37" s="214"/>
      <c r="AC37" s="206"/>
      <c r="AD37" s="207"/>
      <c r="AE37" s="207"/>
      <c r="AF37" s="208"/>
      <c r="AG37" s="206"/>
      <c r="AH37" s="207"/>
      <c r="AI37" s="207"/>
      <c r="AJ37" s="208"/>
      <c r="AK37" s="206"/>
      <c r="AL37" s="207"/>
      <c r="AM37" s="207"/>
      <c r="AN37" s="208"/>
      <c r="AO37" s="206"/>
      <c r="AP37" s="207"/>
      <c r="AQ37" s="207"/>
      <c r="AR37" s="208"/>
      <c r="AS37" s="206"/>
      <c r="AT37" s="207"/>
      <c r="AU37" s="207"/>
      <c r="AV37" s="208"/>
      <c r="AW37" s="206"/>
      <c r="AX37" s="207"/>
      <c r="AY37" s="207"/>
      <c r="AZ37" s="208"/>
      <c r="BA37" s="206"/>
      <c r="BB37" s="207"/>
      <c r="BC37" s="207"/>
      <c r="BD37" s="208"/>
      <c r="BE37" s="242"/>
      <c r="BF37" s="243"/>
      <c r="BG37" s="243"/>
      <c r="BH37" s="244"/>
    </row>
    <row r="38" spans="1:60" ht="12.75" customHeight="1">
      <c r="A38" s="215"/>
      <c r="B38" s="216"/>
      <c r="C38" s="217"/>
      <c r="D38" s="216"/>
      <c r="E38" s="226"/>
      <c r="F38" s="227"/>
      <c r="G38" s="227"/>
      <c r="H38" s="228"/>
      <c r="I38" s="226"/>
      <c r="J38" s="227"/>
      <c r="K38" s="227"/>
      <c r="L38" s="228"/>
      <c r="M38" s="226"/>
      <c r="N38" s="227"/>
      <c r="O38" s="227"/>
      <c r="P38" s="228"/>
      <c r="Q38" s="212"/>
      <c r="R38" s="213"/>
      <c r="S38" s="213"/>
      <c r="T38" s="214"/>
      <c r="U38" s="212"/>
      <c r="V38" s="213"/>
      <c r="W38" s="213"/>
      <c r="X38" s="214"/>
      <c r="Y38" s="212"/>
      <c r="Z38" s="213"/>
      <c r="AA38" s="213"/>
      <c r="AB38" s="214"/>
      <c r="AC38" s="206"/>
      <c r="AD38" s="207"/>
      <c r="AE38" s="207"/>
      <c r="AF38" s="208"/>
      <c r="AG38" s="206"/>
      <c r="AH38" s="207"/>
      <c r="AI38" s="207"/>
      <c r="AJ38" s="208"/>
      <c r="AK38" s="206"/>
      <c r="AL38" s="207"/>
      <c r="AM38" s="207"/>
      <c r="AN38" s="208"/>
      <c r="AO38" s="206"/>
      <c r="AP38" s="207"/>
      <c r="AQ38" s="207"/>
      <c r="AR38" s="208"/>
      <c r="AS38" s="206"/>
      <c r="AT38" s="207"/>
      <c r="AU38" s="207"/>
      <c r="AV38" s="208"/>
      <c r="AW38" s="206"/>
      <c r="AX38" s="207"/>
      <c r="AY38" s="207"/>
      <c r="AZ38" s="208"/>
      <c r="BA38" s="206"/>
      <c r="BB38" s="207"/>
      <c r="BC38" s="207"/>
      <c r="BD38" s="208"/>
      <c r="BE38" s="239"/>
      <c r="BF38" s="240"/>
      <c r="BG38" s="240"/>
      <c r="BH38" s="241"/>
    </row>
    <row r="39" spans="1:60" ht="12.75" customHeight="1">
      <c r="A39" s="215"/>
      <c r="B39" s="216"/>
      <c r="C39" s="217"/>
      <c r="D39" s="216"/>
      <c r="E39" s="229"/>
      <c r="F39" s="230"/>
      <c r="G39" s="230"/>
      <c r="H39" s="231"/>
      <c r="I39" s="229"/>
      <c r="J39" s="230"/>
      <c r="K39" s="230"/>
      <c r="L39" s="231"/>
      <c r="M39" s="229"/>
      <c r="N39" s="230"/>
      <c r="O39" s="230"/>
      <c r="P39" s="231"/>
      <c r="Q39" s="212"/>
      <c r="R39" s="213"/>
      <c r="S39" s="213"/>
      <c r="T39" s="214"/>
      <c r="U39" s="212"/>
      <c r="V39" s="213"/>
      <c r="W39" s="213"/>
      <c r="X39" s="214"/>
      <c r="Y39" s="212"/>
      <c r="Z39" s="213"/>
      <c r="AA39" s="213"/>
      <c r="AB39" s="214"/>
      <c r="AC39" s="206"/>
      <c r="AD39" s="207"/>
      <c r="AE39" s="207"/>
      <c r="AF39" s="208"/>
      <c r="AG39" s="206"/>
      <c r="AH39" s="207"/>
      <c r="AI39" s="207"/>
      <c r="AJ39" s="208"/>
      <c r="AK39" s="206"/>
      <c r="AL39" s="207"/>
      <c r="AM39" s="207"/>
      <c r="AN39" s="208"/>
      <c r="AO39" s="206"/>
      <c r="AP39" s="207"/>
      <c r="AQ39" s="207"/>
      <c r="AR39" s="208"/>
      <c r="AS39" s="206"/>
      <c r="AT39" s="207"/>
      <c r="AU39" s="207"/>
      <c r="AV39" s="208"/>
      <c r="AW39" s="206"/>
      <c r="AX39" s="207"/>
      <c r="AY39" s="207"/>
      <c r="AZ39" s="208"/>
      <c r="BA39" s="206"/>
      <c r="BB39" s="207"/>
      <c r="BC39" s="207"/>
      <c r="BD39" s="208"/>
      <c r="BE39" s="242"/>
      <c r="BF39" s="243"/>
      <c r="BG39" s="243"/>
      <c r="BH39" s="244"/>
    </row>
    <row r="40" spans="1:60" ht="12.75" customHeight="1">
      <c r="A40" s="215"/>
      <c r="B40" s="216"/>
      <c r="C40" s="217"/>
      <c r="D40" s="216"/>
      <c r="E40" s="226"/>
      <c r="F40" s="227"/>
      <c r="G40" s="227"/>
      <c r="H40" s="228"/>
      <c r="I40" s="226"/>
      <c r="J40" s="227"/>
      <c r="K40" s="227"/>
      <c r="L40" s="228"/>
      <c r="M40" s="226"/>
      <c r="N40" s="227"/>
      <c r="O40" s="227"/>
      <c r="P40" s="228"/>
      <c r="Q40" s="212"/>
      <c r="R40" s="213"/>
      <c r="S40" s="213"/>
      <c r="T40" s="214"/>
      <c r="U40" s="212"/>
      <c r="V40" s="213"/>
      <c r="W40" s="213"/>
      <c r="X40" s="214"/>
      <c r="Y40" s="212"/>
      <c r="Z40" s="213"/>
      <c r="AA40" s="213"/>
      <c r="AB40" s="214"/>
      <c r="AC40" s="206"/>
      <c r="AD40" s="207"/>
      <c r="AE40" s="207"/>
      <c r="AF40" s="208"/>
      <c r="AG40" s="206"/>
      <c r="AH40" s="207"/>
      <c r="AI40" s="207"/>
      <c r="AJ40" s="208"/>
      <c r="AK40" s="206"/>
      <c r="AL40" s="207"/>
      <c r="AM40" s="207"/>
      <c r="AN40" s="208"/>
      <c r="AO40" s="206"/>
      <c r="AP40" s="207"/>
      <c r="AQ40" s="207"/>
      <c r="AR40" s="208"/>
      <c r="AS40" s="206"/>
      <c r="AT40" s="207"/>
      <c r="AU40" s="207"/>
      <c r="AV40" s="208"/>
      <c r="AW40" s="206"/>
      <c r="AX40" s="207"/>
      <c r="AY40" s="207"/>
      <c r="AZ40" s="208"/>
      <c r="BA40" s="206"/>
      <c r="BB40" s="207"/>
      <c r="BC40" s="207"/>
      <c r="BD40" s="208"/>
      <c r="BE40" s="239"/>
      <c r="BF40" s="240"/>
      <c r="BG40" s="240"/>
      <c r="BH40" s="241"/>
    </row>
    <row r="41" spans="1:60" ht="12.75" customHeight="1">
      <c r="A41" s="215"/>
      <c r="B41" s="216"/>
      <c r="C41" s="217"/>
      <c r="D41" s="216"/>
      <c r="E41" s="229"/>
      <c r="F41" s="230"/>
      <c r="G41" s="230"/>
      <c r="H41" s="231"/>
      <c r="I41" s="229"/>
      <c r="J41" s="230"/>
      <c r="K41" s="230"/>
      <c r="L41" s="231"/>
      <c r="M41" s="229"/>
      <c r="N41" s="230"/>
      <c r="O41" s="230"/>
      <c r="P41" s="231"/>
      <c r="Q41" s="212"/>
      <c r="R41" s="213"/>
      <c r="S41" s="213"/>
      <c r="T41" s="214"/>
      <c r="U41" s="212"/>
      <c r="V41" s="213"/>
      <c r="W41" s="213"/>
      <c r="X41" s="214"/>
      <c r="Y41" s="212"/>
      <c r="Z41" s="213"/>
      <c r="AA41" s="213"/>
      <c r="AB41" s="214"/>
      <c r="AC41" s="206"/>
      <c r="AD41" s="207"/>
      <c r="AE41" s="207"/>
      <c r="AF41" s="208"/>
      <c r="AG41" s="206"/>
      <c r="AH41" s="207"/>
      <c r="AI41" s="207"/>
      <c r="AJ41" s="208"/>
      <c r="AK41" s="206"/>
      <c r="AL41" s="207"/>
      <c r="AM41" s="207"/>
      <c r="AN41" s="208"/>
      <c r="AO41" s="206"/>
      <c r="AP41" s="207"/>
      <c r="AQ41" s="207"/>
      <c r="AR41" s="208"/>
      <c r="AS41" s="206"/>
      <c r="AT41" s="207"/>
      <c r="AU41" s="207"/>
      <c r="AV41" s="208"/>
      <c r="AW41" s="206"/>
      <c r="AX41" s="207"/>
      <c r="AY41" s="207"/>
      <c r="AZ41" s="208"/>
      <c r="BA41" s="206"/>
      <c r="BB41" s="207"/>
      <c r="BC41" s="207"/>
      <c r="BD41" s="208"/>
      <c r="BE41" s="242"/>
      <c r="BF41" s="243"/>
      <c r="BG41" s="243"/>
      <c r="BH41" s="244"/>
    </row>
    <row r="42" spans="1:60" ht="12.75" customHeight="1">
      <c r="A42" s="215"/>
      <c r="B42" s="216"/>
      <c r="C42" s="217"/>
      <c r="D42" s="216"/>
      <c r="E42" s="226"/>
      <c r="F42" s="227"/>
      <c r="G42" s="227"/>
      <c r="H42" s="228"/>
      <c r="I42" s="226"/>
      <c r="J42" s="227"/>
      <c r="K42" s="227"/>
      <c r="L42" s="228"/>
      <c r="M42" s="226"/>
      <c r="N42" s="227"/>
      <c r="O42" s="227"/>
      <c r="P42" s="228"/>
      <c r="Q42" s="212"/>
      <c r="R42" s="213"/>
      <c r="S42" s="213"/>
      <c r="T42" s="214"/>
      <c r="U42" s="212"/>
      <c r="V42" s="213"/>
      <c r="W42" s="213"/>
      <c r="X42" s="214"/>
      <c r="Y42" s="212"/>
      <c r="Z42" s="213"/>
      <c r="AA42" s="213"/>
      <c r="AB42" s="214"/>
      <c r="AC42" s="206"/>
      <c r="AD42" s="207"/>
      <c r="AE42" s="207"/>
      <c r="AF42" s="208"/>
      <c r="AG42" s="206"/>
      <c r="AH42" s="207"/>
      <c r="AI42" s="207"/>
      <c r="AJ42" s="208"/>
      <c r="AK42" s="206"/>
      <c r="AL42" s="207"/>
      <c r="AM42" s="207"/>
      <c r="AN42" s="208"/>
      <c r="AO42" s="206"/>
      <c r="AP42" s="207"/>
      <c r="AQ42" s="207"/>
      <c r="AR42" s="208"/>
      <c r="AS42" s="206"/>
      <c r="AT42" s="207"/>
      <c r="AU42" s="207"/>
      <c r="AV42" s="208"/>
      <c r="AW42" s="206"/>
      <c r="AX42" s="207"/>
      <c r="AY42" s="207"/>
      <c r="AZ42" s="208"/>
      <c r="BA42" s="206"/>
      <c r="BB42" s="207"/>
      <c r="BC42" s="207"/>
      <c r="BD42" s="208"/>
      <c r="BE42" s="239"/>
      <c r="BF42" s="240"/>
      <c r="BG42" s="240"/>
      <c r="BH42" s="241"/>
    </row>
    <row r="43" spans="1:60" ht="12.75" customHeight="1">
      <c r="A43" s="215"/>
      <c r="B43" s="216"/>
      <c r="C43" s="217"/>
      <c r="D43" s="216"/>
      <c r="E43" s="229"/>
      <c r="F43" s="230"/>
      <c r="G43" s="230"/>
      <c r="H43" s="231"/>
      <c r="I43" s="229"/>
      <c r="J43" s="230"/>
      <c r="K43" s="230"/>
      <c r="L43" s="231"/>
      <c r="M43" s="229"/>
      <c r="N43" s="230"/>
      <c r="O43" s="230"/>
      <c r="P43" s="231"/>
      <c r="Q43" s="212"/>
      <c r="R43" s="213"/>
      <c r="S43" s="213"/>
      <c r="T43" s="214"/>
      <c r="U43" s="212"/>
      <c r="V43" s="213"/>
      <c r="W43" s="213"/>
      <c r="X43" s="214"/>
      <c r="Y43" s="212"/>
      <c r="Z43" s="213"/>
      <c r="AA43" s="213"/>
      <c r="AB43" s="214"/>
      <c r="AC43" s="206"/>
      <c r="AD43" s="207"/>
      <c r="AE43" s="207"/>
      <c r="AF43" s="208"/>
      <c r="AG43" s="206"/>
      <c r="AH43" s="207"/>
      <c r="AI43" s="207"/>
      <c r="AJ43" s="208"/>
      <c r="AK43" s="206"/>
      <c r="AL43" s="207"/>
      <c r="AM43" s="207"/>
      <c r="AN43" s="208"/>
      <c r="AO43" s="206"/>
      <c r="AP43" s="207"/>
      <c r="AQ43" s="207"/>
      <c r="AR43" s="208"/>
      <c r="AS43" s="206"/>
      <c r="AT43" s="207"/>
      <c r="AU43" s="207"/>
      <c r="AV43" s="208"/>
      <c r="AW43" s="206"/>
      <c r="AX43" s="207"/>
      <c r="AY43" s="207"/>
      <c r="AZ43" s="208"/>
      <c r="BA43" s="206"/>
      <c r="BB43" s="207"/>
      <c r="BC43" s="207"/>
      <c r="BD43" s="208"/>
      <c r="BE43" s="242"/>
      <c r="BF43" s="243"/>
      <c r="BG43" s="243"/>
      <c r="BH43" s="244"/>
    </row>
    <row r="44" spans="1:60" ht="12.75" customHeight="1">
      <c r="A44" s="215"/>
      <c r="B44" s="216"/>
      <c r="C44" s="217"/>
      <c r="D44" s="216"/>
      <c r="E44" s="226"/>
      <c r="F44" s="227"/>
      <c r="G44" s="227"/>
      <c r="H44" s="228"/>
      <c r="I44" s="226"/>
      <c r="J44" s="227"/>
      <c r="K44" s="227"/>
      <c r="L44" s="228"/>
      <c r="M44" s="226"/>
      <c r="N44" s="227"/>
      <c r="O44" s="227"/>
      <c r="P44" s="228"/>
      <c r="Q44" s="212"/>
      <c r="R44" s="213"/>
      <c r="S44" s="213"/>
      <c r="T44" s="214"/>
      <c r="U44" s="212"/>
      <c r="V44" s="213"/>
      <c r="W44" s="213"/>
      <c r="X44" s="214"/>
      <c r="Y44" s="212"/>
      <c r="Z44" s="213"/>
      <c r="AA44" s="213"/>
      <c r="AB44" s="214"/>
      <c r="AC44" s="206"/>
      <c r="AD44" s="207"/>
      <c r="AE44" s="207"/>
      <c r="AF44" s="208"/>
      <c r="AG44" s="206"/>
      <c r="AH44" s="207"/>
      <c r="AI44" s="207"/>
      <c r="AJ44" s="208"/>
      <c r="AK44" s="206"/>
      <c r="AL44" s="207"/>
      <c r="AM44" s="207"/>
      <c r="AN44" s="208"/>
      <c r="AO44" s="206"/>
      <c r="AP44" s="207"/>
      <c r="AQ44" s="207"/>
      <c r="AR44" s="208"/>
      <c r="AS44" s="206"/>
      <c r="AT44" s="207"/>
      <c r="AU44" s="207"/>
      <c r="AV44" s="208"/>
      <c r="AW44" s="206"/>
      <c r="AX44" s="207"/>
      <c r="AY44" s="207"/>
      <c r="AZ44" s="208"/>
      <c r="BA44" s="206"/>
      <c r="BB44" s="207"/>
      <c r="BC44" s="207"/>
      <c r="BD44" s="208"/>
      <c r="BE44" s="239"/>
      <c r="BF44" s="240"/>
      <c r="BG44" s="240"/>
      <c r="BH44" s="241"/>
    </row>
    <row r="45" spans="1:60" ht="12.75" customHeight="1">
      <c r="A45" s="215"/>
      <c r="B45" s="216"/>
      <c r="C45" s="217"/>
      <c r="D45" s="216"/>
      <c r="E45" s="229"/>
      <c r="F45" s="230"/>
      <c r="G45" s="230"/>
      <c r="H45" s="231"/>
      <c r="I45" s="229"/>
      <c r="J45" s="230"/>
      <c r="K45" s="230"/>
      <c r="L45" s="231"/>
      <c r="M45" s="229"/>
      <c r="N45" s="230"/>
      <c r="O45" s="230"/>
      <c r="P45" s="231"/>
      <c r="Q45" s="212"/>
      <c r="R45" s="213"/>
      <c r="S45" s="213"/>
      <c r="T45" s="214"/>
      <c r="U45" s="212"/>
      <c r="V45" s="213"/>
      <c r="W45" s="213"/>
      <c r="X45" s="214"/>
      <c r="Y45" s="212"/>
      <c r="Z45" s="213"/>
      <c r="AA45" s="213"/>
      <c r="AB45" s="214"/>
      <c r="AC45" s="206"/>
      <c r="AD45" s="207"/>
      <c r="AE45" s="207"/>
      <c r="AF45" s="208"/>
      <c r="AG45" s="206"/>
      <c r="AH45" s="207"/>
      <c r="AI45" s="207"/>
      <c r="AJ45" s="208"/>
      <c r="AK45" s="206"/>
      <c r="AL45" s="207"/>
      <c r="AM45" s="207"/>
      <c r="AN45" s="208"/>
      <c r="AO45" s="206"/>
      <c r="AP45" s="207"/>
      <c r="AQ45" s="207"/>
      <c r="AR45" s="208"/>
      <c r="AS45" s="206"/>
      <c r="AT45" s="207"/>
      <c r="AU45" s="207"/>
      <c r="AV45" s="208"/>
      <c r="AW45" s="206"/>
      <c r="AX45" s="207"/>
      <c r="AY45" s="207"/>
      <c r="AZ45" s="208"/>
      <c r="BA45" s="206"/>
      <c r="BB45" s="207"/>
      <c r="BC45" s="207"/>
      <c r="BD45" s="208"/>
      <c r="BE45" s="242"/>
      <c r="BF45" s="243"/>
      <c r="BG45" s="243"/>
      <c r="BH45" s="244"/>
    </row>
    <row r="46" spans="1:60" ht="12.75" customHeight="1">
      <c r="A46" s="215"/>
      <c r="B46" s="216"/>
      <c r="C46" s="217"/>
      <c r="D46" s="216"/>
      <c r="E46" s="226"/>
      <c r="F46" s="227"/>
      <c r="G46" s="227"/>
      <c r="H46" s="228"/>
      <c r="I46" s="226"/>
      <c r="J46" s="227"/>
      <c r="K46" s="227"/>
      <c r="L46" s="228"/>
      <c r="M46" s="226"/>
      <c r="N46" s="227"/>
      <c r="O46" s="227"/>
      <c r="P46" s="228"/>
      <c r="Q46" s="212"/>
      <c r="R46" s="213"/>
      <c r="S46" s="213"/>
      <c r="T46" s="214"/>
      <c r="U46" s="212"/>
      <c r="V46" s="213"/>
      <c r="W46" s="213"/>
      <c r="X46" s="214"/>
      <c r="Y46" s="212"/>
      <c r="Z46" s="213"/>
      <c r="AA46" s="213"/>
      <c r="AB46" s="214"/>
      <c r="AC46" s="206"/>
      <c r="AD46" s="207"/>
      <c r="AE46" s="207"/>
      <c r="AF46" s="208"/>
      <c r="AG46" s="206"/>
      <c r="AH46" s="207"/>
      <c r="AI46" s="207"/>
      <c r="AJ46" s="208"/>
      <c r="AK46" s="206"/>
      <c r="AL46" s="207"/>
      <c r="AM46" s="207"/>
      <c r="AN46" s="208"/>
      <c r="AO46" s="206"/>
      <c r="AP46" s="207"/>
      <c r="AQ46" s="207"/>
      <c r="AR46" s="208"/>
      <c r="AS46" s="206"/>
      <c r="AT46" s="207"/>
      <c r="AU46" s="207"/>
      <c r="AV46" s="208"/>
      <c r="AW46" s="206"/>
      <c r="AX46" s="207"/>
      <c r="AY46" s="207"/>
      <c r="AZ46" s="208"/>
      <c r="BA46" s="206"/>
      <c r="BB46" s="207"/>
      <c r="BC46" s="207"/>
      <c r="BD46" s="208"/>
      <c r="BE46" s="239"/>
      <c r="BF46" s="240"/>
      <c r="BG46" s="240"/>
      <c r="BH46" s="241"/>
    </row>
    <row r="47" spans="1:60" ht="12.75" customHeight="1">
      <c r="A47" s="215"/>
      <c r="B47" s="216"/>
      <c r="C47" s="217"/>
      <c r="D47" s="216"/>
      <c r="E47" s="229"/>
      <c r="F47" s="230"/>
      <c r="G47" s="230"/>
      <c r="H47" s="231"/>
      <c r="I47" s="229"/>
      <c r="J47" s="230"/>
      <c r="K47" s="230"/>
      <c r="L47" s="231"/>
      <c r="M47" s="229"/>
      <c r="N47" s="230"/>
      <c r="O47" s="230"/>
      <c r="P47" s="231"/>
      <c r="Q47" s="212"/>
      <c r="R47" s="213"/>
      <c r="S47" s="213"/>
      <c r="T47" s="214"/>
      <c r="U47" s="212"/>
      <c r="V47" s="213"/>
      <c r="W47" s="213"/>
      <c r="X47" s="214"/>
      <c r="Y47" s="212"/>
      <c r="Z47" s="213"/>
      <c r="AA47" s="213"/>
      <c r="AB47" s="214"/>
      <c r="AC47" s="206"/>
      <c r="AD47" s="207"/>
      <c r="AE47" s="207"/>
      <c r="AF47" s="208"/>
      <c r="AG47" s="206"/>
      <c r="AH47" s="207"/>
      <c r="AI47" s="207"/>
      <c r="AJ47" s="208"/>
      <c r="AK47" s="206"/>
      <c r="AL47" s="207"/>
      <c r="AM47" s="207"/>
      <c r="AN47" s="208"/>
      <c r="AO47" s="206"/>
      <c r="AP47" s="207"/>
      <c r="AQ47" s="207"/>
      <c r="AR47" s="208"/>
      <c r="AS47" s="206"/>
      <c r="AT47" s="207"/>
      <c r="AU47" s="207"/>
      <c r="AV47" s="208"/>
      <c r="AW47" s="206"/>
      <c r="AX47" s="207"/>
      <c r="AY47" s="207"/>
      <c r="AZ47" s="208"/>
      <c r="BA47" s="206"/>
      <c r="BB47" s="207"/>
      <c r="BC47" s="207"/>
      <c r="BD47" s="208"/>
      <c r="BE47" s="242"/>
      <c r="BF47" s="243"/>
      <c r="BG47" s="243"/>
      <c r="BH47" s="244"/>
    </row>
    <row r="48" spans="1:60" ht="12.75" customHeight="1">
      <c r="A48" s="215"/>
      <c r="B48" s="216"/>
      <c r="C48" s="217"/>
      <c r="D48" s="216"/>
      <c r="E48" s="226"/>
      <c r="F48" s="227"/>
      <c r="G48" s="227"/>
      <c r="H48" s="228"/>
      <c r="I48" s="226"/>
      <c r="J48" s="227"/>
      <c r="K48" s="227"/>
      <c r="L48" s="228"/>
      <c r="M48" s="226"/>
      <c r="N48" s="227"/>
      <c r="O48" s="227"/>
      <c r="P48" s="228"/>
      <c r="Q48" s="212"/>
      <c r="R48" s="213"/>
      <c r="S48" s="213"/>
      <c r="T48" s="214"/>
      <c r="U48" s="212"/>
      <c r="V48" s="213"/>
      <c r="W48" s="213"/>
      <c r="X48" s="214"/>
      <c r="Y48" s="212"/>
      <c r="Z48" s="213"/>
      <c r="AA48" s="213"/>
      <c r="AB48" s="214"/>
      <c r="AC48" s="206"/>
      <c r="AD48" s="207"/>
      <c r="AE48" s="207"/>
      <c r="AF48" s="208"/>
      <c r="AG48" s="206"/>
      <c r="AH48" s="207"/>
      <c r="AI48" s="207"/>
      <c r="AJ48" s="208"/>
      <c r="AK48" s="206"/>
      <c r="AL48" s="207"/>
      <c r="AM48" s="207"/>
      <c r="AN48" s="208"/>
      <c r="AO48" s="206"/>
      <c r="AP48" s="207"/>
      <c r="AQ48" s="207"/>
      <c r="AR48" s="208"/>
      <c r="AS48" s="206"/>
      <c r="AT48" s="207"/>
      <c r="AU48" s="207"/>
      <c r="AV48" s="208"/>
      <c r="AW48" s="206"/>
      <c r="AX48" s="207"/>
      <c r="AY48" s="207"/>
      <c r="AZ48" s="208"/>
      <c r="BA48" s="206"/>
      <c r="BB48" s="207"/>
      <c r="BC48" s="207"/>
      <c r="BD48" s="208"/>
      <c r="BE48" s="239"/>
      <c r="BF48" s="240"/>
      <c r="BG48" s="240"/>
      <c r="BH48" s="241"/>
    </row>
    <row r="49" spans="1:60" ht="12.75" customHeight="1">
      <c r="A49" s="215"/>
      <c r="B49" s="216"/>
      <c r="C49" s="217"/>
      <c r="D49" s="216"/>
      <c r="E49" s="229"/>
      <c r="F49" s="230"/>
      <c r="G49" s="230"/>
      <c r="H49" s="231"/>
      <c r="I49" s="229"/>
      <c r="J49" s="230"/>
      <c r="K49" s="230"/>
      <c r="L49" s="231"/>
      <c r="M49" s="229"/>
      <c r="N49" s="230"/>
      <c r="O49" s="230"/>
      <c r="P49" s="231"/>
      <c r="Q49" s="212"/>
      <c r="R49" s="213"/>
      <c r="S49" s="213"/>
      <c r="T49" s="214"/>
      <c r="U49" s="212"/>
      <c r="V49" s="213"/>
      <c r="W49" s="213"/>
      <c r="X49" s="214"/>
      <c r="Y49" s="212"/>
      <c r="Z49" s="213"/>
      <c r="AA49" s="213"/>
      <c r="AB49" s="214"/>
      <c r="AC49" s="206"/>
      <c r="AD49" s="207"/>
      <c r="AE49" s="207"/>
      <c r="AF49" s="208"/>
      <c r="AG49" s="206"/>
      <c r="AH49" s="207"/>
      <c r="AI49" s="207"/>
      <c r="AJ49" s="208"/>
      <c r="AK49" s="206"/>
      <c r="AL49" s="207"/>
      <c r="AM49" s="207"/>
      <c r="AN49" s="208"/>
      <c r="AO49" s="206"/>
      <c r="AP49" s="207"/>
      <c r="AQ49" s="207"/>
      <c r="AR49" s="208"/>
      <c r="AS49" s="206"/>
      <c r="AT49" s="207"/>
      <c r="AU49" s="207"/>
      <c r="AV49" s="208"/>
      <c r="AW49" s="206"/>
      <c r="AX49" s="207"/>
      <c r="AY49" s="207"/>
      <c r="AZ49" s="208"/>
      <c r="BA49" s="206"/>
      <c r="BB49" s="207"/>
      <c r="BC49" s="207"/>
      <c r="BD49" s="208"/>
      <c r="BE49" s="242"/>
      <c r="BF49" s="243"/>
      <c r="BG49" s="243"/>
      <c r="BH49" s="244"/>
    </row>
    <row r="50" spans="1:60" ht="12.75" customHeight="1">
      <c r="A50" s="218" t="s">
        <v>158</v>
      </c>
      <c r="B50" s="219"/>
      <c r="C50" s="219"/>
      <c r="D50" s="220"/>
      <c r="E50" s="226">
        <f>SUM(E26:H49)</f>
        <v>0</v>
      </c>
      <c r="F50" s="227"/>
      <c r="G50" s="227"/>
      <c r="H50" s="228"/>
      <c r="I50" s="226">
        <f t="shared" ref="I50" si="0">SUM(I26:L49)</f>
        <v>0</v>
      </c>
      <c r="J50" s="227"/>
      <c r="K50" s="227"/>
      <c r="L50" s="228"/>
      <c r="M50" s="226">
        <f t="shared" ref="M50" si="1">SUM(M26:P49)</f>
        <v>0</v>
      </c>
      <c r="N50" s="227"/>
      <c r="O50" s="227"/>
      <c r="P50" s="228"/>
      <c r="Q50" s="212">
        <f t="shared" ref="Q50" si="2">SUM(Q26:T49)</f>
        <v>0</v>
      </c>
      <c r="R50" s="213"/>
      <c r="S50" s="213"/>
      <c r="T50" s="214"/>
      <c r="U50" s="212">
        <f>SUM(U26:X49)</f>
        <v>0</v>
      </c>
      <c r="V50" s="213"/>
      <c r="W50" s="213"/>
      <c r="X50" s="214"/>
      <c r="Y50" s="212">
        <f>SUM(Y26:AB49)</f>
        <v>0</v>
      </c>
      <c r="Z50" s="213"/>
      <c r="AA50" s="213"/>
      <c r="AB50" s="214"/>
      <c r="AC50" s="212">
        <f>SUM(AC26:AF49)</f>
        <v>0</v>
      </c>
      <c r="AD50" s="213"/>
      <c r="AE50" s="213"/>
      <c r="AF50" s="214"/>
      <c r="AG50" s="206"/>
      <c r="AH50" s="207"/>
      <c r="AI50" s="207"/>
      <c r="AJ50" s="208"/>
      <c r="AK50" s="206"/>
      <c r="AL50" s="207"/>
      <c r="AM50" s="207"/>
      <c r="AN50" s="208"/>
      <c r="AO50" s="206"/>
      <c r="AP50" s="207"/>
      <c r="AQ50" s="207"/>
      <c r="AR50" s="208"/>
      <c r="AS50" s="206"/>
      <c r="AT50" s="207"/>
      <c r="AU50" s="207"/>
      <c r="AV50" s="208"/>
      <c r="AW50" s="206"/>
      <c r="AX50" s="207"/>
      <c r="AY50" s="207"/>
      <c r="AZ50" s="208"/>
      <c r="BA50" s="206"/>
      <c r="BB50" s="207"/>
      <c r="BC50" s="207"/>
      <c r="BD50" s="208"/>
      <c r="BE50" s="239"/>
      <c r="BF50" s="240"/>
      <c r="BG50" s="240"/>
      <c r="BH50" s="241"/>
    </row>
    <row r="51" spans="1:60" ht="12.75" customHeight="1">
      <c r="A51" s="221"/>
      <c r="B51" s="222"/>
      <c r="C51" s="222"/>
      <c r="D51" s="223"/>
      <c r="E51" s="235"/>
      <c r="F51" s="236"/>
      <c r="G51" s="236"/>
      <c r="H51" s="237"/>
      <c r="I51" s="235"/>
      <c r="J51" s="236"/>
      <c r="K51" s="236"/>
      <c r="L51" s="237"/>
      <c r="M51" s="235"/>
      <c r="N51" s="236"/>
      <c r="O51" s="236"/>
      <c r="P51" s="237"/>
      <c r="Q51" s="247"/>
      <c r="R51" s="248"/>
      <c r="S51" s="248"/>
      <c r="T51" s="249"/>
      <c r="U51" s="247"/>
      <c r="V51" s="248"/>
      <c r="W51" s="248"/>
      <c r="X51" s="249"/>
      <c r="Y51" s="247"/>
      <c r="Z51" s="248"/>
      <c r="AA51" s="248"/>
      <c r="AB51" s="249"/>
      <c r="AC51" s="247"/>
      <c r="AD51" s="248"/>
      <c r="AE51" s="248"/>
      <c r="AF51" s="249"/>
      <c r="AG51" s="209"/>
      <c r="AH51" s="210"/>
      <c r="AI51" s="210"/>
      <c r="AJ51" s="211"/>
      <c r="AK51" s="209"/>
      <c r="AL51" s="210"/>
      <c r="AM51" s="210"/>
      <c r="AN51" s="211"/>
      <c r="AO51" s="209"/>
      <c r="AP51" s="210"/>
      <c r="AQ51" s="210"/>
      <c r="AR51" s="211"/>
      <c r="AS51" s="209"/>
      <c r="AT51" s="210"/>
      <c r="AU51" s="210"/>
      <c r="AV51" s="211"/>
      <c r="AW51" s="209"/>
      <c r="AX51" s="210"/>
      <c r="AY51" s="210"/>
      <c r="AZ51" s="211"/>
      <c r="BA51" s="209"/>
      <c r="BB51" s="210"/>
      <c r="BC51" s="210"/>
      <c r="BD51" s="211"/>
      <c r="BE51" s="265"/>
      <c r="BF51" s="266"/>
      <c r="BG51" s="266"/>
      <c r="BH51" s="267"/>
    </row>
    <row r="52" spans="1:60" ht="24" customHeight="1">
      <c r="A52" s="370" t="s">
        <v>160</v>
      </c>
      <c r="B52" s="371"/>
      <c r="C52" s="371"/>
      <c r="D52" s="371"/>
      <c r="E52" s="232">
        <f>E24+E50</f>
        <v>249153</v>
      </c>
      <c r="F52" s="233"/>
      <c r="G52" s="233"/>
      <c r="H52" s="234"/>
      <c r="I52" s="232">
        <f t="shared" ref="I52" si="3">I24+I50</f>
        <v>26758</v>
      </c>
      <c r="J52" s="233"/>
      <c r="K52" s="233"/>
      <c r="L52" s="234"/>
      <c r="M52" s="232">
        <f>M24+M50</f>
        <v>0</v>
      </c>
      <c r="N52" s="233"/>
      <c r="O52" s="233"/>
      <c r="P52" s="234"/>
      <c r="Q52" s="238">
        <f t="shared" ref="Q52" si="4">Q24+Q50</f>
        <v>3017</v>
      </c>
      <c r="R52" s="238"/>
      <c r="S52" s="238"/>
      <c r="T52" s="238"/>
      <c r="U52" s="238">
        <f t="shared" ref="U52" si="5">U24+U50</f>
        <v>39448</v>
      </c>
      <c r="V52" s="238"/>
      <c r="W52" s="238"/>
      <c r="X52" s="238"/>
      <c r="Y52" s="238">
        <f>Y24+Y50</f>
        <v>15000</v>
      </c>
      <c r="Z52" s="238"/>
      <c r="AA52" s="238"/>
      <c r="AB52" s="238"/>
      <c r="AC52" s="238">
        <f>AC24+AC50</f>
        <v>1452</v>
      </c>
      <c r="AD52" s="238"/>
      <c r="AE52" s="238"/>
      <c r="AF52" s="238"/>
      <c r="AG52" s="245"/>
      <c r="AH52" s="246"/>
      <c r="AI52" s="246"/>
      <c r="AJ52" s="246"/>
      <c r="AK52" s="245"/>
      <c r="AL52" s="246"/>
      <c r="AM52" s="246"/>
      <c r="AN52" s="246"/>
      <c r="AO52" s="245"/>
      <c r="AP52" s="246"/>
      <c r="AQ52" s="246"/>
      <c r="AR52" s="246"/>
      <c r="AS52" s="245"/>
      <c r="AT52" s="246"/>
      <c r="AU52" s="246"/>
      <c r="AV52" s="246"/>
      <c r="AW52" s="245"/>
      <c r="AX52" s="246"/>
      <c r="AY52" s="246"/>
      <c r="AZ52" s="246"/>
      <c r="BA52" s="245"/>
      <c r="BB52" s="246"/>
      <c r="BC52" s="246"/>
      <c r="BD52" s="246"/>
      <c r="BE52" s="250"/>
      <c r="BF52" s="251"/>
      <c r="BG52" s="251"/>
      <c r="BH52" s="252"/>
    </row>
    <row r="53" spans="1:60" ht="15" thickBot="1">
      <c r="A53" s="224" t="s">
        <v>174</v>
      </c>
      <c r="B53" s="225"/>
      <c r="C53" s="225"/>
      <c r="D53" s="225"/>
      <c r="E53" s="225"/>
      <c r="F53" s="225"/>
      <c r="G53" s="225"/>
      <c r="H53" s="225"/>
      <c r="I53" s="225"/>
      <c r="J53" s="225"/>
      <c r="K53" s="225"/>
      <c r="L53" s="225"/>
      <c r="M53" s="225"/>
      <c r="N53" s="225"/>
      <c r="O53" s="225"/>
      <c r="P53" s="225"/>
      <c r="Q53" s="225"/>
      <c r="R53" s="225"/>
      <c r="S53" s="225"/>
      <c r="T53" s="225"/>
      <c r="U53" s="225" t="s">
        <v>106</v>
      </c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225" t="s">
        <v>14</v>
      </c>
      <c r="AP53" s="225"/>
      <c r="AQ53" s="225"/>
      <c r="AR53" s="225"/>
      <c r="AS53" s="225"/>
      <c r="AT53" s="225"/>
      <c r="AU53" s="225"/>
      <c r="AV53" s="225"/>
      <c r="AW53" s="225"/>
      <c r="AX53" s="225"/>
      <c r="AY53" s="225"/>
      <c r="AZ53" s="225"/>
      <c r="BA53" s="225"/>
      <c r="BB53" s="225"/>
      <c r="BC53" s="225"/>
      <c r="BD53" s="225"/>
      <c r="BE53" s="225"/>
      <c r="BF53" s="225"/>
      <c r="BG53" s="225"/>
      <c r="BH53" s="264"/>
    </row>
    <row r="54" spans="1:60">
      <c r="A54" s="203" t="str">
        <f>Bilgiler!$D$12</f>
        <v xml:space="preserve"> ÖMER FARUK YAŞAR      -     HARUN KAZANCI    -      ÖMER BUCAK</v>
      </c>
      <c r="B54" s="204"/>
      <c r="C54" s="204"/>
      <c r="D54" s="204"/>
      <c r="E54" s="204"/>
      <c r="F54" s="204"/>
      <c r="G54" s="204"/>
      <c r="H54" s="204"/>
      <c r="I54" s="204"/>
      <c r="J54" s="204"/>
      <c r="K54" s="204"/>
      <c r="L54" s="204"/>
      <c r="M54" s="204"/>
      <c r="N54" s="204"/>
      <c r="O54" s="204"/>
      <c r="P54" s="204"/>
      <c r="Q54" s="204"/>
      <c r="R54" s="204"/>
      <c r="S54" s="204"/>
      <c r="T54" s="205"/>
      <c r="U54" s="203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5"/>
      <c r="AO54" s="355" t="str">
        <f>Bilgiler!$D$3</f>
        <v>ER-SAN ELEKTRİK İNŞ. TAAH.TİC.LTD.ŞTİ.</v>
      </c>
      <c r="AP54" s="356"/>
      <c r="AQ54" s="356"/>
      <c r="AR54" s="356"/>
      <c r="AS54" s="356"/>
      <c r="AT54" s="356"/>
      <c r="AU54" s="356"/>
      <c r="AV54" s="356"/>
      <c r="AW54" s="356"/>
      <c r="AX54" s="356"/>
      <c r="AY54" s="356"/>
      <c r="AZ54" s="356"/>
      <c r="BA54" s="356"/>
      <c r="BB54" s="356"/>
      <c r="BC54" s="356"/>
      <c r="BD54" s="356"/>
      <c r="BE54" s="356"/>
      <c r="BF54" s="356"/>
      <c r="BG54" s="356"/>
      <c r="BH54" s="357"/>
    </row>
    <row r="55" spans="1:60">
      <c r="A55" s="78" t="str">
        <f>Bilgiler!$D$13</f>
        <v>İDARİ İŞLER SORUMLUSU  -  OKUMA YÖNETİCİSİ -   SAYAÇ VERİ GİRİŞ OP.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96"/>
      <c r="U55" s="352"/>
      <c r="V55" s="353"/>
      <c r="W55" s="353"/>
      <c r="X55" s="353"/>
      <c r="Y55" s="353"/>
      <c r="Z55" s="353"/>
      <c r="AA55" s="353"/>
      <c r="AB55" s="353"/>
      <c r="AC55" s="353"/>
      <c r="AD55" s="353"/>
      <c r="AE55" s="353"/>
      <c r="AF55" s="353"/>
      <c r="AG55" s="353"/>
      <c r="AH55" s="353"/>
      <c r="AI55" s="353"/>
      <c r="AJ55" s="353"/>
      <c r="AK55" s="353"/>
      <c r="AL55" s="353"/>
      <c r="AM55" s="353"/>
      <c r="AN55" s="354"/>
      <c r="AO55" s="358"/>
      <c r="AP55" s="359"/>
      <c r="AQ55" s="359"/>
      <c r="AR55" s="359"/>
      <c r="AS55" s="359"/>
      <c r="AT55" s="359"/>
      <c r="AU55" s="359"/>
      <c r="AV55" s="359"/>
      <c r="AW55" s="359"/>
      <c r="AX55" s="359"/>
      <c r="AY55" s="359"/>
      <c r="AZ55" s="359"/>
      <c r="BA55" s="359"/>
      <c r="BB55" s="359"/>
      <c r="BC55" s="359"/>
      <c r="BD55" s="359"/>
      <c r="BE55" s="359"/>
      <c r="BF55" s="359"/>
      <c r="BG55" s="359"/>
      <c r="BH55" s="360"/>
    </row>
    <row r="56" spans="1:60">
      <c r="A56" s="76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96"/>
      <c r="U56" s="352"/>
      <c r="V56" s="353"/>
      <c r="W56" s="353"/>
      <c r="X56" s="353"/>
      <c r="Y56" s="353"/>
      <c r="Z56" s="353"/>
      <c r="AA56" s="353"/>
      <c r="AB56" s="353"/>
      <c r="AC56" s="353"/>
      <c r="AD56" s="353"/>
      <c r="AE56" s="353"/>
      <c r="AF56" s="353"/>
      <c r="AG56" s="353"/>
      <c r="AH56" s="353"/>
      <c r="AI56" s="353"/>
      <c r="AJ56" s="353"/>
      <c r="AK56" s="353"/>
      <c r="AL56" s="353"/>
      <c r="AM56" s="353"/>
      <c r="AN56" s="354"/>
      <c r="AO56" s="358"/>
      <c r="AP56" s="359"/>
      <c r="AQ56" s="359"/>
      <c r="AR56" s="359"/>
      <c r="AS56" s="359"/>
      <c r="AT56" s="359"/>
      <c r="AU56" s="359"/>
      <c r="AV56" s="359"/>
      <c r="AW56" s="359"/>
      <c r="AX56" s="359"/>
      <c r="AY56" s="359"/>
      <c r="AZ56" s="359"/>
      <c r="BA56" s="359"/>
      <c r="BB56" s="359"/>
      <c r="BC56" s="359"/>
      <c r="BD56" s="359"/>
      <c r="BE56" s="359"/>
      <c r="BF56" s="359"/>
      <c r="BG56" s="359"/>
      <c r="BH56" s="360"/>
    </row>
    <row r="57" spans="1:60">
      <c r="A57" s="95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97"/>
      <c r="U57" s="364"/>
      <c r="V57" s="365"/>
      <c r="W57" s="365"/>
      <c r="X57" s="365"/>
      <c r="Y57" s="365"/>
      <c r="Z57" s="365"/>
      <c r="AA57" s="365"/>
      <c r="AB57" s="365"/>
      <c r="AC57" s="365"/>
      <c r="AD57" s="365"/>
      <c r="AE57" s="365"/>
      <c r="AF57" s="365"/>
      <c r="AG57" s="365"/>
      <c r="AH57" s="365"/>
      <c r="AI57" s="365"/>
      <c r="AJ57" s="365"/>
      <c r="AK57" s="365"/>
      <c r="AL57" s="365"/>
      <c r="AM57" s="365"/>
      <c r="AN57" s="366"/>
      <c r="AO57" s="358"/>
      <c r="AP57" s="359"/>
      <c r="AQ57" s="359"/>
      <c r="AR57" s="359"/>
      <c r="AS57" s="359"/>
      <c r="AT57" s="359"/>
      <c r="AU57" s="359"/>
      <c r="AV57" s="359"/>
      <c r="AW57" s="359"/>
      <c r="AX57" s="359"/>
      <c r="AY57" s="359"/>
      <c r="AZ57" s="359"/>
      <c r="BA57" s="359"/>
      <c r="BB57" s="359"/>
      <c r="BC57" s="359"/>
      <c r="BD57" s="359"/>
      <c r="BE57" s="359"/>
      <c r="BF57" s="359"/>
      <c r="BG57" s="359"/>
      <c r="BH57" s="360"/>
    </row>
    <row r="58" spans="1:60">
      <c r="A58" s="78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97"/>
      <c r="U58" s="364"/>
      <c r="V58" s="365"/>
      <c r="W58" s="365"/>
      <c r="X58" s="365"/>
      <c r="Y58" s="365"/>
      <c r="Z58" s="365"/>
      <c r="AA58" s="365"/>
      <c r="AB58" s="365"/>
      <c r="AC58" s="365"/>
      <c r="AD58" s="365"/>
      <c r="AE58" s="365"/>
      <c r="AF58" s="365"/>
      <c r="AG58" s="365"/>
      <c r="AH58" s="365"/>
      <c r="AI58" s="365"/>
      <c r="AJ58" s="365"/>
      <c r="AK58" s="365"/>
      <c r="AL58" s="365"/>
      <c r="AM58" s="365"/>
      <c r="AN58" s="366"/>
      <c r="AO58" s="358"/>
      <c r="AP58" s="359"/>
      <c r="AQ58" s="359"/>
      <c r="AR58" s="359"/>
      <c r="AS58" s="359"/>
      <c r="AT58" s="359"/>
      <c r="AU58" s="359"/>
      <c r="AV58" s="359"/>
      <c r="AW58" s="359"/>
      <c r="AX58" s="359"/>
      <c r="AY58" s="359"/>
      <c r="AZ58" s="359"/>
      <c r="BA58" s="359"/>
      <c r="BB58" s="359"/>
      <c r="BC58" s="359"/>
      <c r="BD58" s="359"/>
      <c r="BE58" s="359"/>
      <c r="BF58" s="359"/>
      <c r="BG58" s="359"/>
      <c r="BH58" s="360"/>
    </row>
    <row r="59" spans="1:60" ht="15" thickBot="1">
      <c r="A59" s="80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98"/>
      <c r="U59" s="367"/>
      <c r="V59" s="368"/>
      <c r="W59" s="368"/>
      <c r="X59" s="368"/>
      <c r="Y59" s="368"/>
      <c r="Z59" s="368"/>
      <c r="AA59" s="368"/>
      <c r="AB59" s="368"/>
      <c r="AC59" s="368"/>
      <c r="AD59" s="368"/>
      <c r="AE59" s="368"/>
      <c r="AF59" s="368"/>
      <c r="AG59" s="368"/>
      <c r="AH59" s="368"/>
      <c r="AI59" s="368"/>
      <c r="AJ59" s="368"/>
      <c r="AK59" s="368"/>
      <c r="AL59" s="368"/>
      <c r="AM59" s="368"/>
      <c r="AN59" s="369"/>
      <c r="AO59" s="361"/>
      <c r="AP59" s="362"/>
      <c r="AQ59" s="362"/>
      <c r="AR59" s="362"/>
      <c r="AS59" s="362"/>
      <c r="AT59" s="362"/>
      <c r="AU59" s="362"/>
      <c r="AV59" s="362"/>
      <c r="AW59" s="362"/>
      <c r="AX59" s="362"/>
      <c r="AY59" s="362"/>
      <c r="AZ59" s="362"/>
      <c r="BA59" s="362"/>
      <c r="BB59" s="362"/>
      <c r="BC59" s="362"/>
      <c r="BD59" s="362"/>
      <c r="BE59" s="362"/>
      <c r="BF59" s="362"/>
      <c r="BG59" s="362"/>
      <c r="BH59" s="363"/>
    </row>
  </sheetData>
  <customSheetViews>
    <customSheetView guid="{99F77AB9-FA43-4D4B-9896-F712C1493A3C}" scale="85" showPageBreaks="1" fitToPage="1" printArea="1" view="pageBreakPreview">
      <selection activeCell="AQ60" sqref="AQ60"/>
      <pageMargins left="0.70866141732283472" right="0.5" top="0.33" bottom="0.32" header="0.31496062992125984" footer="0.31496062992125984"/>
      <pageSetup paperSize="9" scale="72" orientation="landscape" r:id="rId1"/>
    </customSheetView>
    <customSheetView guid="{C8BAC6B5-86E1-4F54-AEAC-1412291311FD}" scale="85" showPageBreaks="1" fitToPage="1" printArea="1" view="pageBreakPreview">
      <selection activeCell="AQ60" sqref="AQ60"/>
      <pageMargins left="0.70866141732283472" right="0.5" top="0.33" bottom="0.32" header="0.31496062992125984" footer="0.31496062992125984"/>
      <pageSetup paperSize="9" scale="72" orientation="landscape" r:id="rId2"/>
    </customSheetView>
  </customSheetViews>
  <mergeCells count="299">
    <mergeCell ref="AG28:AJ29"/>
    <mergeCell ref="A30:B31"/>
    <mergeCell ref="AK34:AN35"/>
    <mergeCell ref="AG30:AJ31"/>
    <mergeCell ref="A11:D21"/>
    <mergeCell ref="M34:P35"/>
    <mergeCell ref="AS34:AV35"/>
    <mergeCell ref="U30:X31"/>
    <mergeCell ref="Y30:AB31"/>
    <mergeCell ref="AC30:AF31"/>
    <mergeCell ref="C30:D31"/>
    <mergeCell ref="AK30:AN31"/>
    <mergeCell ref="I30:L31"/>
    <mergeCell ref="M30:P31"/>
    <mergeCell ref="Q30:T31"/>
    <mergeCell ref="E30:H31"/>
    <mergeCell ref="A26:B27"/>
    <mergeCell ref="C26:D27"/>
    <mergeCell ref="I28:L29"/>
    <mergeCell ref="M28:P29"/>
    <mergeCell ref="Q28:T29"/>
    <mergeCell ref="U28:X29"/>
    <mergeCell ref="A28:B29"/>
    <mergeCell ref="C28:D29"/>
    <mergeCell ref="AW44:AZ45"/>
    <mergeCell ref="AK44:AN45"/>
    <mergeCell ref="AO44:AR45"/>
    <mergeCell ref="AS44:AV45"/>
    <mergeCell ref="I38:L39"/>
    <mergeCell ref="M38:P39"/>
    <mergeCell ref="Q38:T39"/>
    <mergeCell ref="AG40:AJ41"/>
    <mergeCell ref="AC44:AF45"/>
    <mergeCell ref="AG44:AJ45"/>
    <mergeCell ref="AO40:AR41"/>
    <mergeCell ref="AS40:AV41"/>
    <mergeCell ref="AW40:AZ41"/>
    <mergeCell ref="AO38:AR39"/>
    <mergeCell ref="Y44:AB45"/>
    <mergeCell ref="I44:L45"/>
    <mergeCell ref="M40:P41"/>
    <mergeCell ref="I40:L41"/>
    <mergeCell ref="AG38:AJ39"/>
    <mergeCell ref="AO42:AR43"/>
    <mergeCell ref="AS42:AV43"/>
    <mergeCell ref="AW42:AZ43"/>
    <mergeCell ref="M44:P45"/>
    <mergeCell ref="Q44:T45"/>
    <mergeCell ref="U54:AN56"/>
    <mergeCell ref="AO54:BH59"/>
    <mergeCell ref="U57:AN59"/>
    <mergeCell ref="A34:B35"/>
    <mergeCell ref="C34:D35"/>
    <mergeCell ref="A32:B33"/>
    <mergeCell ref="C32:D33"/>
    <mergeCell ref="E32:H33"/>
    <mergeCell ref="Q46:T47"/>
    <mergeCell ref="A46:B47"/>
    <mergeCell ref="C46:D47"/>
    <mergeCell ref="A44:B45"/>
    <mergeCell ref="A36:B37"/>
    <mergeCell ref="C36:D37"/>
    <mergeCell ref="Y46:AB47"/>
    <mergeCell ref="AC46:AF47"/>
    <mergeCell ref="AG46:AJ47"/>
    <mergeCell ref="AK46:AN47"/>
    <mergeCell ref="I46:L47"/>
    <mergeCell ref="M46:P47"/>
    <mergeCell ref="AW34:AZ35"/>
    <mergeCell ref="U34:X35"/>
    <mergeCell ref="A52:D52"/>
    <mergeCell ref="I52:L52"/>
    <mergeCell ref="U44:X45"/>
    <mergeCell ref="E44:H45"/>
    <mergeCell ref="E38:H39"/>
    <mergeCell ref="I36:L37"/>
    <mergeCell ref="M36:P37"/>
    <mergeCell ref="Q36:T37"/>
    <mergeCell ref="U32:X33"/>
    <mergeCell ref="Y32:AB33"/>
    <mergeCell ref="AC32:AF33"/>
    <mergeCell ref="U38:X39"/>
    <mergeCell ref="Y38:AB39"/>
    <mergeCell ref="AC38:AF39"/>
    <mergeCell ref="AG32:AJ33"/>
    <mergeCell ref="I32:L33"/>
    <mergeCell ref="M32:P33"/>
    <mergeCell ref="Q32:T33"/>
    <mergeCell ref="E34:H35"/>
    <mergeCell ref="Q34:T35"/>
    <mergeCell ref="U36:X37"/>
    <mergeCell ref="Y34:AB35"/>
    <mergeCell ref="AC34:AF35"/>
    <mergeCell ref="AG34:AJ35"/>
    <mergeCell ref="E36:H37"/>
    <mergeCell ref="I34:L35"/>
    <mergeCell ref="AG42:AJ43"/>
    <mergeCell ref="AK42:AN43"/>
    <mergeCell ref="U40:X41"/>
    <mergeCell ref="Y40:AB41"/>
    <mergeCell ref="AK40:AN41"/>
    <mergeCell ref="Q40:T41"/>
    <mergeCell ref="I42:L43"/>
    <mergeCell ref="AC40:AF41"/>
    <mergeCell ref="A42:B43"/>
    <mergeCell ref="C42:D43"/>
    <mergeCell ref="A40:B41"/>
    <mergeCell ref="C40:D41"/>
    <mergeCell ref="E42:H43"/>
    <mergeCell ref="E40:H41"/>
    <mergeCell ref="U42:X43"/>
    <mergeCell ref="Y42:AB43"/>
    <mergeCell ref="AC42:AF43"/>
    <mergeCell ref="AK38:AN39"/>
    <mergeCell ref="AO24:AR25"/>
    <mergeCell ref="AS24:AV25"/>
    <mergeCell ref="AW24:AZ25"/>
    <mergeCell ref="AK26:AN27"/>
    <mergeCell ref="AO32:AR33"/>
    <mergeCell ref="AS32:AV33"/>
    <mergeCell ref="AW32:AZ33"/>
    <mergeCell ref="AK32:AN33"/>
    <mergeCell ref="AS30:AV31"/>
    <mergeCell ref="AW30:AZ31"/>
    <mergeCell ref="AW28:AZ29"/>
    <mergeCell ref="AO34:AR35"/>
    <mergeCell ref="AO30:AR31"/>
    <mergeCell ref="AO28:AR29"/>
    <mergeCell ref="AS28:AV29"/>
    <mergeCell ref="E28:H29"/>
    <mergeCell ref="E26:H27"/>
    <mergeCell ref="E24:H25"/>
    <mergeCell ref="AG26:AJ27"/>
    <mergeCell ref="Y28:AB29"/>
    <mergeCell ref="A1:F7"/>
    <mergeCell ref="G1:U7"/>
    <mergeCell ref="V1:AT3"/>
    <mergeCell ref="V4:AT5"/>
    <mergeCell ref="AK8:AN10"/>
    <mergeCell ref="AO8:AR10"/>
    <mergeCell ref="AS8:AV10"/>
    <mergeCell ref="AS11:AV21"/>
    <mergeCell ref="A22:D23"/>
    <mergeCell ref="I22:L23"/>
    <mergeCell ref="M22:P23"/>
    <mergeCell ref="Q22:T23"/>
    <mergeCell ref="U22:X23"/>
    <mergeCell ref="Y22:AB23"/>
    <mergeCell ref="AC22:AF23"/>
    <mergeCell ref="AG22:AJ23"/>
    <mergeCell ref="AK22:AN23"/>
    <mergeCell ref="E11:H21"/>
    <mergeCell ref="E8:H10"/>
    <mergeCell ref="E22:H23"/>
    <mergeCell ref="BB1:BH3"/>
    <mergeCell ref="AU4:BA7"/>
    <mergeCell ref="BB4:BH7"/>
    <mergeCell ref="V6:AT7"/>
    <mergeCell ref="AG24:AJ25"/>
    <mergeCell ref="AU1:BA3"/>
    <mergeCell ref="AW8:AZ10"/>
    <mergeCell ref="BA8:BD10"/>
    <mergeCell ref="AW22:AZ23"/>
    <mergeCell ref="AW11:AZ21"/>
    <mergeCell ref="M11:P21"/>
    <mergeCell ref="Q11:T21"/>
    <mergeCell ref="U11:X21"/>
    <mergeCell ref="Y11:AB21"/>
    <mergeCell ref="AC11:AF21"/>
    <mergeCell ref="BE8:BH10"/>
    <mergeCell ref="AG11:AJ21"/>
    <mergeCell ref="AK11:AN21"/>
    <mergeCell ref="AO11:AR21"/>
    <mergeCell ref="BA22:BD23"/>
    <mergeCell ref="BE22:BH23"/>
    <mergeCell ref="BA24:BD25"/>
    <mergeCell ref="AK24:AN25"/>
    <mergeCell ref="I26:L27"/>
    <mergeCell ref="M26:P27"/>
    <mergeCell ref="AO22:AR23"/>
    <mergeCell ref="AS22:AV23"/>
    <mergeCell ref="I11:L21"/>
    <mergeCell ref="A8:D10"/>
    <mergeCell ref="I8:L10"/>
    <mergeCell ref="M8:P10"/>
    <mergeCell ref="AS26:AV27"/>
    <mergeCell ref="Q8:T10"/>
    <mergeCell ref="U8:X10"/>
    <mergeCell ref="Y8:AB10"/>
    <mergeCell ref="AC8:AF10"/>
    <mergeCell ref="AG8:AJ10"/>
    <mergeCell ref="A24:D25"/>
    <mergeCell ref="I24:L25"/>
    <mergeCell ref="M24:P25"/>
    <mergeCell ref="Q24:T25"/>
    <mergeCell ref="U24:X25"/>
    <mergeCell ref="Y24:AB25"/>
    <mergeCell ref="AC24:AF25"/>
    <mergeCell ref="AO26:AR27"/>
    <mergeCell ref="Q26:T27"/>
    <mergeCell ref="U26:X27"/>
    <mergeCell ref="Y26:AB27"/>
    <mergeCell ref="AC26:AF27"/>
    <mergeCell ref="BE44:BH45"/>
    <mergeCell ref="BE46:BH47"/>
    <mergeCell ref="AO46:AR47"/>
    <mergeCell ref="AS46:AV47"/>
    <mergeCell ref="AW46:AZ47"/>
    <mergeCell ref="AC28:AF29"/>
    <mergeCell ref="AK28:AN29"/>
    <mergeCell ref="BA36:BD37"/>
    <mergeCell ref="Y36:AB37"/>
    <mergeCell ref="AC36:AF37"/>
    <mergeCell ref="AG36:AJ37"/>
    <mergeCell ref="AK36:AN37"/>
    <mergeCell ref="AO36:AR37"/>
    <mergeCell ref="AS36:AV37"/>
    <mergeCell ref="AW36:AZ37"/>
    <mergeCell ref="AS38:AV39"/>
    <mergeCell ref="AW38:AZ39"/>
    <mergeCell ref="BE42:BH43"/>
    <mergeCell ref="BA28:BD29"/>
    <mergeCell ref="BA38:BD39"/>
    <mergeCell ref="BA30:BD31"/>
    <mergeCell ref="AW26:AZ27"/>
    <mergeCell ref="AO53:BH53"/>
    <mergeCell ref="AW50:AZ51"/>
    <mergeCell ref="BA50:BD51"/>
    <mergeCell ref="U50:X51"/>
    <mergeCell ref="Y50:AB51"/>
    <mergeCell ref="AC50:AF51"/>
    <mergeCell ref="AG50:AJ51"/>
    <mergeCell ref="AK50:AN51"/>
    <mergeCell ref="BE50:BH51"/>
    <mergeCell ref="BI8:BI10"/>
    <mergeCell ref="BA11:BD21"/>
    <mergeCell ref="BE11:BH21"/>
    <mergeCell ref="BA34:BD35"/>
    <mergeCell ref="BA40:BD41"/>
    <mergeCell ref="BE40:BH41"/>
    <mergeCell ref="BA42:BD43"/>
    <mergeCell ref="BA44:BD45"/>
    <mergeCell ref="BA32:BD33"/>
    <mergeCell ref="BE32:BH33"/>
    <mergeCell ref="BE30:BH31"/>
    <mergeCell ref="BE28:BH29"/>
    <mergeCell ref="BE26:BH27"/>
    <mergeCell ref="BE24:BH25"/>
    <mergeCell ref="BE38:BH39"/>
    <mergeCell ref="BE36:BH37"/>
    <mergeCell ref="BE34:BH35"/>
    <mergeCell ref="BA26:BD27"/>
    <mergeCell ref="BE48:BH49"/>
    <mergeCell ref="I50:L51"/>
    <mergeCell ref="U48:X49"/>
    <mergeCell ref="M48:P49"/>
    <mergeCell ref="I48:L49"/>
    <mergeCell ref="Q48:T49"/>
    <mergeCell ref="Y52:AB52"/>
    <mergeCell ref="AC52:AF52"/>
    <mergeCell ref="BA48:BD49"/>
    <mergeCell ref="AO48:AR49"/>
    <mergeCell ref="AW48:AZ49"/>
    <mergeCell ref="AK52:AN52"/>
    <mergeCell ref="AO52:AR52"/>
    <mergeCell ref="AS52:AV52"/>
    <mergeCell ref="AW52:AZ52"/>
    <mergeCell ref="AS48:AV49"/>
    <mergeCell ref="AO50:AR51"/>
    <mergeCell ref="M50:P51"/>
    <mergeCell ref="Q50:T51"/>
    <mergeCell ref="BA52:BD52"/>
    <mergeCell ref="M52:P52"/>
    <mergeCell ref="AG52:AJ52"/>
    <mergeCell ref="BE52:BH52"/>
    <mergeCell ref="A54:T54"/>
    <mergeCell ref="BA46:BD47"/>
    <mergeCell ref="AS50:AV51"/>
    <mergeCell ref="U46:X47"/>
    <mergeCell ref="A38:B39"/>
    <mergeCell ref="C38:D39"/>
    <mergeCell ref="A50:D51"/>
    <mergeCell ref="A53:T53"/>
    <mergeCell ref="U53:AN53"/>
    <mergeCell ref="M42:P43"/>
    <mergeCell ref="Q42:T43"/>
    <mergeCell ref="E52:H52"/>
    <mergeCell ref="E50:H51"/>
    <mergeCell ref="E48:H49"/>
    <mergeCell ref="A48:B49"/>
    <mergeCell ref="C48:D49"/>
    <mergeCell ref="Y48:AB49"/>
    <mergeCell ref="AC48:AF49"/>
    <mergeCell ref="AG48:AJ49"/>
    <mergeCell ref="AK48:AN49"/>
    <mergeCell ref="Q52:T52"/>
    <mergeCell ref="U52:X52"/>
    <mergeCell ref="C44:D45"/>
    <mergeCell ref="E46:H47"/>
  </mergeCells>
  <printOptions horizontalCentered="1" verticalCentered="1"/>
  <pageMargins left="0.70866141732283472" right="0.51181102362204722" top="0.31496062992125984" bottom="0.31496062992125984" header="0.31496062992125984" footer="0.31496062992125984"/>
  <pageSetup paperSize="9" scale="64" fitToHeight="3" orientation="landscape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36"/>
  <sheetViews>
    <sheetView topLeftCell="C1" zoomScaleNormal="100" zoomScaleSheetLayoutView="85" workbookViewId="0">
      <selection activeCell="C12" sqref="C12"/>
    </sheetView>
  </sheetViews>
  <sheetFormatPr defaultRowHeight="14.4"/>
  <cols>
    <col min="1" max="1" width="5.6640625" customWidth="1"/>
    <col min="2" max="2" width="12" customWidth="1"/>
    <col min="3" max="3" width="84.5546875" customWidth="1"/>
    <col min="4" max="4" width="7.44140625" customWidth="1"/>
    <col min="5" max="5" width="10.109375" customWidth="1"/>
    <col min="6" max="6" width="10.88671875" customWidth="1"/>
    <col min="7" max="7" width="17.88671875" customWidth="1"/>
    <col min="9" max="9" width="11.6640625" bestFit="1" customWidth="1"/>
  </cols>
  <sheetData>
    <row r="1" spans="1:7" ht="15.75" customHeight="1">
      <c r="A1" s="389"/>
      <c r="B1" s="390"/>
      <c r="C1" s="384" t="str">
        <f>Bilgiler!D2</f>
        <v>İl Geneli Mobil Okuma Cihazı Kullanarak On-Line ve Off-Line Sayaç Endeks Tespiti, Fatura Dağıtımı,Sayaç Mühürlenmesi, Sayaç Sökme-Takma, Su Kapama veya Su Açma, Sayaç Alımı ve Kaçak Tespiti Hizmeti</v>
      </c>
      <c r="D1" s="384"/>
      <c r="E1" s="384"/>
      <c r="F1" s="384"/>
      <c r="G1" s="385"/>
    </row>
    <row r="2" spans="1:7" ht="44.4" customHeight="1">
      <c r="A2" s="391"/>
      <c r="B2" s="392"/>
      <c r="C2" s="386"/>
      <c r="D2" s="386"/>
      <c r="E2" s="386"/>
      <c r="F2" s="386"/>
      <c r="G2" s="387"/>
    </row>
    <row r="3" spans="1:7" s="34" customFormat="1" ht="30.6" customHeight="1">
      <c r="A3" s="370" t="s">
        <v>122</v>
      </c>
      <c r="B3" s="371"/>
      <c r="C3" s="371"/>
      <c r="D3" s="371"/>
      <c r="E3" s="371"/>
      <c r="F3" s="371"/>
      <c r="G3" s="388"/>
    </row>
    <row r="4" spans="1:7" s="34" customFormat="1" ht="27" customHeight="1">
      <c r="A4" s="82" t="s">
        <v>17</v>
      </c>
      <c r="B4" s="63" t="s">
        <v>123</v>
      </c>
      <c r="C4" s="63" t="s">
        <v>21</v>
      </c>
      <c r="D4" s="63" t="s">
        <v>124</v>
      </c>
      <c r="E4" s="63" t="s">
        <v>108</v>
      </c>
      <c r="F4" s="71" t="s">
        <v>125</v>
      </c>
      <c r="G4" s="83" t="s">
        <v>126</v>
      </c>
    </row>
    <row r="5" spans="1:7" s="34" customFormat="1" ht="27" customHeight="1">
      <c r="A5" s="84">
        <v>1</v>
      </c>
      <c r="B5" s="75" t="s">
        <v>164</v>
      </c>
      <c r="C5" s="72" t="s">
        <v>182</v>
      </c>
      <c r="D5" s="72" t="s">
        <v>107</v>
      </c>
      <c r="E5" s="68">
        <v>1000000</v>
      </c>
      <c r="F5" s="67">
        <v>40</v>
      </c>
      <c r="G5" s="85">
        <f>F5*E5</f>
        <v>40000000</v>
      </c>
    </row>
    <row r="6" spans="1:7" s="34" customFormat="1" ht="27" customHeight="1">
      <c r="A6" s="84">
        <v>2</v>
      </c>
      <c r="B6" s="75" t="s">
        <v>183</v>
      </c>
      <c r="C6" s="72" t="s">
        <v>184</v>
      </c>
      <c r="D6" s="72" t="s">
        <v>107</v>
      </c>
      <c r="E6" s="68">
        <v>50000</v>
      </c>
      <c r="F6" s="67">
        <v>20</v>
      </c>
      <c r="G6" s="85">
        <f t="shared" ref="G6:G11" si="0">F6*E6</f>
        <v>1000000</v>
      </c>
    </row>
    <row r="7" spans="1:7" s="34" customFormat="1" ht="27" customHeight="1">
      <c r="A7" s="84">
        <v>3</v>
      </c>
      <c r="B7" s="75" t="s">
        <v>185</v>
      </c>
      <c r="C7" s="72" t="s">
        <v>199</v>
      </c>
      <c r="D7" s="72" t="s">
        <v>107</v>
      </c>
      <c r="E7" s="68">
        <v>20000</v>
      </c>
      <c r="F7" s="67">
        <v>50</v>
      </c>
      <c r="G7" s="85">
        <f t="shared" si="0"/>
        <v>1000000</v>
      </c>
    </row>
    <row r="8" spans="1:7" s="34" customFormat="1" ht="27" customHeight="1">
      <c r="A8" s="84">
        <v>4</v>
      </c>
      <c r="B8" s="75" t="s">
        <v>186</v>
      </c>
      <c r="C8" s="72" t="s">
        <v>200</v>
      </c>
      <c r="D8" s="72" t="s">
        <v>107</v>
      </c>
      <c r="E8" s="68">
        <v>40000</v>
      </c>
      <c r="F8" s="67">
        <v>280</v>
      </c>
      <c r="G8" s="85">
        <f t="shared" si="0"/>
        <v>11200000</v>
      </c>
    </row>
    <row r="9" spans="1:7" s="34" customFormat="1" ht="27" customHeight="1">
      <c r="A9" s="84">
        <v>5</v>
      </c>
      <c r="B9" s="75" t="s">
        <v>187</v>
      </c>
      <c r="C9" s="72" t="s">
        <v>201</v>
      </c>
      <c r="D9" s="72" t="s">
        <v>107</v>
      </c>
      <c r="E9" s="68">
        <v>140000</v>
      </c>
      <c r="F9" s="67">
        <v>200</v>
      </c>
      <c r="G9" s="85">
        <f t="shared" si="0"/>
        <v>28000000</v>
      </c>
    </row>
    <row r="10" spans="1:7" s="34" customFormat="1" ht="27" customHeight="1">
      <c r="A10" s="84">
        <v>6</v>
      </c>
      <c r="B10" s="75" t="s">
        <v>188</v>
      </c>
      <c r="C10" s="72" t="s">
        <v>202</v>
      </c>
      <c r="D10" s="72" t="s">
        <v>107</v>
      </c>
      <c r="E10" s="68">
        <v>15000</v>
      </c>
      <c r="F10" s="67">
        <v>1350</v>
      </c>
      <c r="G10" s="85">
        <f t="shared" si="0"/>
        <v>20250000</v>
      </c>
    </row>
    <row r="11" spans="1:7" s="34" customFormat="1" ht="27" customHeight="1">
      <c r="A11" s="84">
        <v>7</v>
      </c>
      <c r="B11" s="75" t="s">
        <v>189</v>
      </c>
      <c r="C11" s="72" t="s">
        <v>203</v>
      </c>
      <c r="D11" s="72" t="s">
        <v>107</v>
      </c>
      <c r="E11" s="66">
        <v>7500</v>
      </c>
      <c r="F11" s="67">
        <v>1800</v>
      </c>
      <c r="G11" s="85">
        <f t="shared" si="0"/>
        <v>13500000</v>
      </c>
    </row>
    <row r="12" spans="1:7" s="34" customFormat="1" ht="27" customHeight="1">
      <c r="A12" s="84"/>
      <c r="B12" s="72"/>
      <c r="C12" s="69" t="s">
        <v>159</v>
      </c>
      <c r="D12" s="73"/>
      <c r="E12" s="69"/>
      <c r="F12" s="70"/>
      <c r="G12" s="86">
        <f>SUM(G5:G11)</f>
        <v>114950000</v>
      </c>
    </row>
    <row r="13" spans="1:7" s="34" customFormat="1" ht="24.9" customHeight="1">
      <c r="A13" s="84"/>
      <c r="B13" s="72"/>
      <c r="C13" s="72"/>
      <c r="D13" s="72"/>
      <c r="E13" s="66"/>
      <c r="F13" s="67"/>
      <c r="G13" s="85"/>
    </row>
    <row r="14" spans="1:7" s="34" customFormat="1" ht="24.9" customHeight="1">
      <c r="A14" s="84"/>
      <c r="B14" s="72"/>
      <c r="C14" s="72"/>
      <c r="D14" s="72"/>
      <c r="E14" s="66"/>
      <c r="F14" s="67"/>
      <c r="G14" s="85"/>
    </row>
    <row r="15" spans="1:7" s="34" customFormat="1" ht="24.9" customHeight="1">
      <c r="A15" s="84"/>
      <c r="B15" s="72"/>
      <c r="C15" s="72"/>
      <c r="D15" s="72"/>
      <c r="E15" s="66"/>
      <c r="F15" s="67"/>
      <c r="G15" s="85"/>
    </row>
    <row r="16" spans="1:7">
      <c r="A16" s="84"/>
      <c r="B16" s="64"/>
      <c r="C16" s="64"/>
      <c r="D16" s="64"/>
      <c r="E16" s="66"/>
      <c r="F16" s="67"/>
      <c r="G16" s="85"/>
    </row>
    <row r="17" spans="1:7">
      <c r="A17" s="84"/>
      <c r="B17" s="64"/>
      <c r="C17" s="64"/>
      <c r="D17" s="64"/>
      <c r="E17" s="66"/>
      <c r="F17" s="67"/>
      <c r="G17" s="85"/>
    </row>
    <row r="18" spans="1:7">
      <c r="A18" s="84"/>
      <c r="B18" s="64"/>
      <c r="C18" s="64"/>
      <c r="D18" s="64"/>
      <c r="E18" s="66"/>
      <c r="F18" s="67"/>
      <c r="G18" s="85"/>
    </row>
    <row r="19" spans="1:7">
      <c r="A19" s="84"/>
      <c r="B19" s="64"/>
      <c r="C19" s="64"/>
      <c r="D19" s="64"/>
      <c r="E19" s="66"/>
      <c r="F19" s="67"/>
      <c r="G19" s="85"/>
    </row>
    <row r="20" spans="1:7">
      <c r="A20" s="84"/>
      <c r="B20" s="64"/>
      <c r="C20" s="64"/>
      <c r="D20" s="64"/>
      <c r="E20" s="66"/>
      <c r="F20" s="67"/>
      <c r="G20" s="85"/>
    </row>
    <row r="21" spans="1:7">
      <c r="A21" s="84"/>
      <c r="B21" s="64"/>
      <c r="C21" s="64"/>
      <c r="D21" s="64"/>
      <c r="E21" s="66"/>
      <c r="F21" s="67"/>
      <c r="G21" s="85"/>
    </row>
    <row r="22" spans="1:7">
      <c r="A22" s="84"/>
      <c r="B22" s="64"/>
      <c r="C22" s="64"/>
      <c r="D22" s="64"/>
      <c r="E22" s="66"/>
      <c r="F22" s="67"/>
      <c r="G22" s="85"/>
    </row>
    <row r="23" spans="1:7">
      <c r="A23" s="84"/>
      <c r="B23" s="64"/>
      <c r="C23" s="64"/>
      <c r="D23" s="64"/>
      <c r="E23" s="66"/>
      <c r="F23" s="67"/>
      <c r="G23" s="85"/>
    </row>
    <row r="24" spans="1:7">
      <c r="A24" s="84"/>
      <c r="B24" s="64"/>
      <c r="C24" s="64"/>
      <c r="D24" s="64"/>
      <c r="E24" s="66"/>
      <c r="F24" s="67"/>
      <c r="G24" s="85"/>
    </row>
    <row r="25" spans="1:7">
      <c r="A25" s="84"/>
      <c r="B25" s="64"/>
      <c r="C25" s="64"/>
      <c r="D25" s="64"/>
      <c r="E25" s="66"/>
      <c r="F25" s="67"/>
      <c r="G25" s="85"/>
    </row>
    <row r="26" spans="1:7">
      <c r="A26" s="84"/>
      <c r="B26" s="64"/>
      <c r="C26" s="64"/>
      <c r="D26" s="64"/>
      <c r="E26" s="66"/>
      <c r="F26" s="67"/>
      <c r="G26" s="85"/>
    </row>
    <row r="27" spans="1:7">
      <c r="A27" s="84"/>
      <c r="B27" s="64"/>
      <c r="C27" s="64"/>
      <c r="D27" s="64"/>
      <c r="E27" s="66"/>
      <c r="F27" s="67"/>
      <c r="G27" s="85"/>
    </row>
    <row r="28" spans="1:7">
      <c r="A28" s="84"/>
      <c r="B28" s="64"/>
      <c r="C28" s="64"/>
      <c r="D28" s="64"/>
      <c r="E28" s="66"/>
      <c r="F28" s="67"/>
      <c r="G28" s="85"/>
    </row>
    <row r="29" spans="1:7">
      <c r="A29" s="84"/>
      <c r="B29" s="64"/>
      <c r="C29" s="64"/>
      <c r="D29" s="64"/>
      <c r="E29" s="65"/>
      <c r="F29" s="67"/>
      <c r="G29" s="85"/>
    </row>
    <row r="30" spans="1:7">
      <c r="A30" s="87"/>
      <c r="B30" s="64"/>
      <c r="C30" s="64"/>
      <c r="D30" s="64"/>
      <c r="E30" s="65"/>
      <c r="F30" s="67"/>
      <c r="G30" s="85"/>
    </row>
    <row r="31" spans="1:7">
      <c r="A31" s="87"/>
      <c r="B31" s="64"/>
      <c r="C31" s="64"/>
      <c r="D31" s="64"/>
      <c r="E31" s="66"/>
      <c r="F31" s="67"/>
      <c r="G31" s="85"/>
    </row>
    <row r="32" spans="1:7">
      <c r="A32" s="87"/>
      <c r="B32" s="64"/>
      <c r="C32" s="64"/>
      <c r="D32" s="64"/>
      <c r="E32" s="66"/>
      <c r="F32" s="67"/>
      <c r="G32" s="85"/>
    </row>
    <row r="33" spans="1:7">
      <c r="A33" s="87"/>
      <c r="B33" s="64"/>
      <c r="C33" s="64"/>
      <c r="D33" s="64"/>
      <c r="E33" s="66"/>
      <c r="F33" s="67"/>
      <c r="G33" s="85"/>
    </row>
    <row r="34" spans="1:7">
      <c r="A34" s="87"/>
      <c r="B34" s="64"/>
      <c r="C34" s="64"/>
      <c r="D34" s="64"/>
      <c r="E34" s="66"/>
      <c r="F34" s="67"/>
      <c r="G34" s="85"/>
    </row>
    <row r="35" spans="1:7" ht="15" thickBot="1">
      <c r="A35" s="88"/>
      <c r="B35" s="89"/>
      <c r="C35" s="90"/>
      <c r="D35" s="89"/>
      <c r="E35" s="91"/>
      <c r="F35" s="92"/>
      <c r="G35" s="93"/>
    </row>
    <row r="36" spans="1:7">
      <c r="A36" s="35"/>
      <c r="B36" s="35"/>
      <c r="C36" s="35"/>
      <c r="D36" s="35"/>
      <c r="E36" s="35"/>
      <c r="F36" s="35"/>
      <c r="G36" s="35"/>
    </row>
  </sheetData>
  <customSheetViews>
    <customSheetView guid="{99F77AB9-FA43-4D4B-9896-F712C1493A3C}" showPageBreaks="1" printArea="1" view="pageBreakPreview">
      <selection activeCell="F10" sqref="F10"/>
      <pageMargins left="0.47244094488188981" right="0.23622047244094491" top="0.33" bottom="0.32" header="0.31496062992125984" footer="0.31496062992125984"/>
      <pageSetup paperSize="9" orientation="landscape" r:id="rId1"/>
    </customSheetView>
    <customSheetView guid="{C8BAC6B5-86E1-4F54-AEAC-1412291311FD}" showPageBreaks="1" printArea="1" view="pageBreakPreview">
      <selection activeCell="F10" sqref="F10"/>
      <pageMargins left="0.47244094488188981" right="0.23622047244094491" top="0.33" bottom="0.32" header="0.31496062992125984" footer="0.31496062992125984"/>
      <pageSetup paperSize="9" orientation="landscape" r:id="rId2"/>
    </customSheetView>
  </customSheetViews>
  <mergeCells count="3">
    <mergeCell ref="C1:G2"/>
    <mergeCell ref="A3:G3"/>
    <mergeCell ref="A1:B2"/>
  </mergeCells>
  <printOptions horizontalCentered="1"/>
  <pageMargins left="0.47244094488188981" right="0.23622047244094491" top="0.31496062992125984" bottom="0.15748031496062992" header="0.31496062992125984" footer="0.15748031496062992"/>
  <pageSetup paperSize="9" scale="65" fitToHeight="0"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J49"/>
  <sheetViews>
    <sheetView zoomScaleNormal="100" zoomScaleSheetLayoutView="85" workbookViewId="0">
      <selection activeCell="D37" sqref="D37"/>
    </sheetView>
  </sheetViews>
  <sheetFormatPr defaultRowHeight="14.4"/>
  <cols>
    <col min="5" max="5" width="11" customWidth="1"/>
    <col min="6" max="6" width="2.88671875" customWidth="1"/>
    <col min="7" max="7" width="10" bestFit="1" customWidth="1"/>
    <col min="10" max="10" width="13.88671875" customWidth="1"/>
  </cols>
  <sheetData>
    <row r="1" spans="1:10" ht="15" customHeight="1" thickTop="1">
      <c r="A1" s="396" t="s">
        <v>82</v>
      </c>
      <c r="B1" s="397"/>
      <c r="C1" s="397"/>
      <c r="D1" s="397"/>
      <c r="E1" s="397"/>
      <c r="F1" s="397"/>
      <c r="G1" s="397"/>
      <c r="H1" s="397"/>
      <c r="I1" s="397"/>
      <c r="J1" s="398"/>
    </row>
    <row r="2" spans="1:10" ht="15" customHeight="1">
      <c r="A2" s="399"/>
      <c r="B2" s="400"/>
      <c r="C2" s="400"/>
      <c r="D2" s="400"/>
      <c r="E2" s="400"/>
      <c r="F2" s="400"/>
      <c r="G2" s="400"/>
      <c r="H2" s="400"/>
      <c r="I2" s="400"/>
      <c r="J2" s="401"/>
    </row>
    <row r="3" spans="1:10" ht="15" customHeight="1">
      <c r="A3" s="399"/>
      <c r="B3" s="400"/>
      <c r="C3" s="400"/>
      <c r="D3" s="400"/>
      <c r="E3" s="400"/>
      <c r="F3" s="400"/>
      <c r="G3" s="400"/>
      <c r="H3" s="400"/>
      <c r="I3" s="400"/>
      <c r="J3" s="401"/>
    </row>
    <row r="4" spans="1:10" ht="15" customHeight="1">
      <c r="A4" s="399"/>
      <c r="B4" s="400"/>
      <c r="C4" s="400"/>
      <c r="D4" s="400"/>
      <c r="E4" s="400"/>
      <c r="F4" s="400"/>
      <c r="G4" s="400"/>
      <c r="H4" s="400"/>
      <c r="I4" s="400"/>
      <c r="J4" s="401"/>
    </row>
    <row r="5" spans="1:10">
      <c r="A5" s="22"/>
      <c r="J5" s="19"/>
    </row>
    <row r="6" spans="1:10">
      <c r="A6" s="22"/>
      <c r="J6" s="19"/>
    </row>
    <row r="7" spans="1:10">
      <c r="A7" s="411" t="str">
        <f>Bilgiler!D2</f>
        <v>İl Geneli Mobil Okuma Cihazı Kullanarak On-Line ve Off-Line Sayaç Endeks Tespiti, Fatura Dağıtımı,Sayaç Mühürlenmesi, Sayaç Sökme-Takma, Su Kapama veya Su Açma, Sayaç Alımı ve Kaçak Tespiti Hizmeti</v>
      </c>
      <c r="B7" s="412"/>
      <c r="C7" s="412"/>
      <c r="D7" s="412"/>
      <c r="E7" s="412"/>
      <c r="F7" s="412"/>
      <c r="G7" s="412"/>
      <c r="H7" s="412"/>
      <c r="I7" s="412"/>
      <c r="J7" s="413"/>
    </row>
    <row r="8" spans="1:10" ht="14.4" customHeight="1">
      <c r="A8" s="411"/>
      <c r="B8" s="412"/>
      <c r="C8" s="412"/>
      <c r="D8" s="412"/>
      <c r="E8" s="412"/>
      <c r="F8" s="412"/>
      <c r="G8" s="412"/>
      <c r="H8" s="412"/>
      <c r="I8" s="412"/>
      <c r="J8" s="413"/>
    </row>
    <row r="9" spans="1:10" ht="15.75" customHeight="1">
      <c r="A9" s="411"/>
      <c r="B9" s="412"/>
      <c r="C9" s="412"/>
      <c r="D9" s="412"/>
      <c r="E9" s="412"/>
      <c r="F9" s="412"/>
      <c r="G9" s="412"/>
      <c r="H9" s="412"/>
      <c r="I9" s="412"/>
      <c r="J9" s="413"/>
    </row>
    <row r="10" spans="1:10" ht="25.8">
      <c r="A10" s="402" t="s">
        <v>83</v>
      </c>
      <c r="B10" s="403"/>
      <c r="C10" s="403"/>
      <c r="D10" s="403"/>
      <c r="E10" s="403"/>
      <c r="F10" s="403"/>
      <c r="G10" s="403"/>
      <c r="H10" s="403"/>
      <c r="I10" s="403"/>
      <c r="J10" s="404"/>
    </row>
    <row r="11" spans="1:10">
      <c r="A11" s="22"/>
      <c r="J11" s="19"/>
    </row>
    <row r="12" spans="1:10">
      <c r="A12" s="22"/>
      <c r="D12" s="395" t="s">
        <v>85</v>
      </c>
      <c r="E12" s="395"/>
      <c r="F12" s="27" t="s">
        <v>84</v>
      </c>
      <c r="G12" s="28">
        <f>Bilgiler!D22</f>
        <v>46085</v>
      </c>
      <c r="J12" s="19"/>
    </row>
    <row r="13" spans="1:10" ht="18">
      <c r="A13" s="22"/>
      <c r="D13" s="395" t="s">
        <v>86</v>
      </c>
      <c r="E13" s="395"/>
      <c r="F13" s="27" t="s">
        <v>84</v>
      </c>
      <c r="G13" s="29">
        <f>Bilgiler!D10</f>
        <v>4</v>
      </c>
      <c r="J13" s="19"/>
    </row>
    <row r="14" spans="1:10">
      <c r="A14" s="22"/>
      <c r="D14" s="395" t="s">
        <v>87</v>
      </c>
      <c r="E14" s="395"/>
      <c r="F14" s="27" t="s">
        <v>84</v>
      </c>
      <c r="G14" s="30">
        <v>2025</v>
      </c>
      <c r="J14" s="19"/>
    </row>
    <row r="15" spans="1:10">
      <c r="A15" s="22"/>
      <c r="J15" s="19"/>
    </row>
    <row r="16" spans="1:10" ht="28.5" customHeight="1">
      <c r="A16" s="22"/>
      <c r="B16" s="38" t="s">
        <v>88</v>
      </c>
      <c r="F16" s="27" t="s">
        <v>84</v>
      </c>
      <c r="G16" s="405" t="str">
        <f>Bilgiler!D3</f>
        <v>ER-SAN ELEKTRİK İNŞ. TAAH.TİC.LTD.ŞTİ.</v>
      </c>
      <c r="H16" s="405"/>
      <c r="I16" s="405"/>
      <c r="J16" s="406"/>
    </row>
    <row r="17" spans="1:10">
      <c r="A17" s="22"/>
      <c r="B17" s="38" t="s">
        <v>89</v>
      </c>
      <c r="F17" s="27" t="s">
        <v>84</v>
      </c>
      <c r="G17" s="407">
        <f>Bilgiler!D7</f>
        <v>114950000</v>
      </c>
      <c r="H17" s="407"/>
      <c r="I17" s="407"/>
      <c r="J17" s="408"/>
    </row>
    <row r="18" spans="1:10">
      <c r="A18" s="22"/>
      <c r="B18" s="38" t="s">
        <v>90</v>
      </c>
      <c r="F18" s="27" t="s">
        <v>84</v>
      </c>
      <c r="G18" s="409" t="str">
        <f>TEXT(Bilgiler!D18,"GG.AA.YYYY")</f>
        <v>25.09.2025</v>
      </c>
      <c r="H18" s="409"/>
      <c r="I18" s="409"/>
      <c r="J18" s="410"/>
    </row>
    <row r="19" spans="1:10">
      <c r="A19" s="22"/>
      <c r="B19" s="38" t="s">
        <v>34</v>
      </c>
      <c r="F19" s="27" t="s">
        <v>84</v>
      </c>
      <c r="G19" s="409" t="str">
        <f>TEXT(Bilgiler!D8,"GG.AA.YYYY")</f>
        <v>03.11.2025</v>
      </c>
      <c r="H19" s="409"/>
      <c r="I19" s="409"/>
      <c r="J19" s="410"/>
    </row>
    <row r="20" spans="1:10">
      <c r="A20" s="22"/>
      <c r="B20" s="38" t="s">
        <v>91</v>
      </c>
      <c r="F20" s="27" t="s">
        <v>84</v>
      </c>
      <c r="G20" s="409" t="str">
        <f>TEXT(Bilgiler!D19,"GG.AA.YYYY")</f>
        <v>05.11.2025</v>
      </c>
      <c r="H20" s="409"/>
      <c r="I20" s="409"/>
      <c r="J20" s="410"/>
    </row>
    <row r="21" spans="1:10">
      <c r="A21" s="22"/>
      <c r="B21" s="38" t="s">
        <v>92</v>
      </c>
      <c r="F21" s="27" t="s">
        <v>84</v>
      </c>
      <c r="G21" s="393">
        <f>Bilgiler!D20</f>
        <v>422</v>
      </c>
      <c r="H21" s="393"/>
      <c r="I21" s="393"/>
      <c r="J21" s="394"/>
    </row>
    <row r="22" spans="1:10">
      <c r="A22" s="22"/>
      <c r="B22" s="39" t="s">
        <v>93</v>
      </c>
      <c r="F22" s="27" t="s">
        <v>84</v>
      </c>
      <c r="G22" s="409" t="str">
        <f>TEXT(Bilgiler!D9,"GG.AA.YYYY")</f>
        <v>31.12.2026</v>
      </c>
      <c r="H22" s="409"/>
      <c r="I22" s="409"/>
      <c r="J22" s="410"/>
    </row>
    <row r="23" spans="1:10">
      <c r="A23" s="22"/>
      <c r="B23" s="26"/>
      <c r="F23" s="27"/>
      <c r="G23" s="30"/>
      <c r="H23" s="30"/>
      <c r="I23" s="30"/>
      <c r="J23" s="31"/>
    </row>
    <row r="24" spans="1:10">
      <c r="A24" s="22"/>
      <c r="J24" s="19"/>
    </row>
    <row r="25" spans="1:10">
      <c r="A25" s="22"/>
      <c r="J25" s="19"/>
    </row>
    <row r="26" spans="1:10">
      <c r="A26" s="22"/>
      <c r="J26" s="19"/>
    </row>
    <row r="27" spans="1:10">
      <c r="A27" s="414" t="s">
        <v>94</v>
      </c>
      <c r="B27" s="349"/>
      <c r="C27" s="349"/>
      <c r="D27" s="349"/>
      <c r="E27" s="349"/>
      <c r="F27" s="349" t="s">
        <v>95</v>
      </c>
      <c r="G27" s="349"/>
      <c r="H27" s="349"/>
      <c r="I27" s="349"/>
      <c r="J27" s="415"/>
    </row>
    <row r="28" spans="1:10">
      <c r="A28" s="414"/>
      <c r="B28" s="349"/>
      <c r="C28" s="349"/>
      <c r="D28" s="349"/>
      <c r="E28" s="349"/>
      <c r="F28" s="349"/>
      <c r="G28" s="349"/>
      <c r="H28" s="349"/>
      <c r="I28" s="349"/>
      <c r="J28" s="415"/>
    </row>
    <row r="29" spans="1:10">
      <c r="A29" s="416" t="s">
        <v>96</v>
      </c>
      <c r="B29" s="417"/>
      <c r="C29" s="417"/>
      <c r="D29" s="418">
        <f>Bilgiler!D7</f>
        <v>114950000</v>
      </c>
      <c r="E29" s="418"/>
      <c r="F29" s="419" t="s">
        <v>194</v>
      </c>
      <c r="G29" s="419"/>
      <c r="H29" s="419"/>
      <c r="I29" s="419"/>
      <c r="J29" s="420"/>
    </row>
    <row r="30" spans="1:10">
      <c r="A30" s="416" t="s">
        <v>97</v>
      </c>
      <c r="B30" s="417"/>
      <c r="C30" s="417"/>
      <c r="D30" s="418"/>
      <c r="E30" s="153"/>
      <c r="F30" s="419" t="s">
        <v>112</v>
      </c>
      <c r="G30" s="419"/>
      <c r="H30" s="419"/>
      <c r="I30" s="419"/>
      <c r="J30" s="420"/>
    </row>
    <row r="31" spans="1:10">
      <c r="A31" s="416" t="s">
        <v>98</v>
      </c>
      <c r="B31" s="417"/>
      <c r="C31" s="417"/>
      <c r="D31" s="418">
        <f>D29+D30</f>
        <v>114950000</v>
      </c>
      <c r="E31" s="418"/>
      <c r="J31" s="19"/>
    </row>
    <row r="32" spans="1:10">
      <c r="A32" s="22"/>
      <c r="J32" s="19"/>
    </row>
    <row r="33" spans="1:10">
      <c r="A33" s="22"/>
      <c r="J33" s="19"/>
    </row>
    <row r="34" spans="1:10">
      <c r="A34" s="22"/>
      <c r="J34" s="19"/>
    </row>
    <row r="35" spans="1:10" ht="14.4" customHeight="1">
      <c r="A35" s="421" t="s">
        <v>99</v>
      </c>
      <c r="B35" s="422"/>
      <c r="C35" s="422"/>
      <c r="D35" s="424" t="s">
        <v>269</v>
      </c>
      <c r="E35" s="424"/>
      <c r="F35" s="424"/>
      <c r="G35" s="424"/>
      <c r="H35" s="424"/>
      <c r="I35" s="424"/>
      <c r="J35" s="19"/>
    </row>
    <row r="36" spans="1:10" ht="14.4" customHeight="1">
      <c r="A36" s="32"/>
      <c r="B36" s="33"/>
      <c r="C36" s="36"/>
      <c r="D36" s="424"/>
      <c r="E36" s="424"/>
      <c r="F36" s="424"/>
      <c r="G36" s="424"/>
      <c r="H36" s="424"/>
      <c r="I36" s="424"/>
      <c r="J36" s="19"/>
    </row>
    <row r="37" spans="1:10">
      <c r="A37" s="22"/>
      <c r="J37" s="19"/>
    </row>
    <row r="38" spans="1:10">
      <c r="A38" s="22"/>
      <c r="J38" s="19"/>
    </row>
    <row r="39" spans="1:10">
      <c r="A39" s="22"/>
      <c r="J39" s="19"/>
    </row>
    <row r="40" spans="1:10">
      <c r="A40" s="22"/>
      <c r="J40" s="19"/>
    </row>
    <row r="41" spans="1:10">
      <c r="A41" s="22"/>
      <c r="C41" s="423" t="s">
        <v>100</v>
      </c>
      <c r="D41" s="423"/>
      <c r="E41" s="423"/>
      <c r="F41" s="37"/>
      <c r="G41" s="425">
        <v>46387</v>
      </c>
      <c r="H41" s="423"/>
      <c r="J41" s="19"/>
    </row>
    <row r="42" spans="1:10">
      <c r="A42" s="22"/>
      <c r="C42" s="423" t="s">
        <v>101</v>
      </c>
      <c r="D42" s="423"/>
      <c r="E42" s="423"/>
      <c r="F42" s="37"/>
      <c r="G42" s="423" t="s">
        <v>104</v>
      </c>
      <c r="H42" s="423"/>
      <c r="J42" s="19"/>
    </row>
    <row r="43" spans="1:10">
      <c r="A43" s="22"/>
      <c r="C43" s="423" t="s">
        <v>102</v>
      </c>
      <c r="D43" s="423"/>
      <c r="E43" s="423"/>
      <c r="F43" s="37"/>
      <c r="G43" s="423" t="s">
        <v>104</v>
      </c>
      <c r="H43" s="423"/>
      <c r="J43" s="19"/>
    </row>
    <row r="44" spans="1:10">
      <c r="A44" s="22"/>
      <c r="C44" s="423" t="s">
        <v>103</v>
      </c>
      <c r="D44" s="423"/>
      <c r="E44" s="423"/>
      <c r="F44" s="37"/>
      <c r="G44" s="423" t="s">
        <v>104</v>
      </c>
      <c r="H44" s="423"/>
      <c r="J44" s="19"/>
    </row>
    <row r="45" spans="1:10">
      <c r="A45" s="22"/>
      <c r="J45" s="19"/>
    </row>
    <row r="46" spans="1:10">
      <c r="A46" s="22"/>
      <c r="J46" s="19"/>
    </row>
    <row r="47" spans="1:10">
      <c r="A47" s="22"/>
      <c r="J47" s="19"/>
    </row>
    <row r="48" spans="1:10" ht="15" thickBot="1">
      <c r="A48" s="23"/>
      <c r="B48" s="24"/>
      <c r="C48" s="24"/>
      <c r="D48" s="24"/>
      <c r="E48" s="24"/>
      <c r="F48" s="24"/>
      <c r="G48" s="24"/>
      <c r="H48" s="24"/>
      <c r="I48" s="24"/>
      <c r="J48" s="25"/>
    </row>
    <row r="49" ht="15" thickTop="1"/>
  </sheetData>
  <customSheetViews>
    <customSheetView guid="{99F77AB9-FA43-4D4B-9896-F712C1493A3C}" scale="115" showPageBreaks="1" printArea="1" view="pageBreakPreview">
      <selection activeCell="M11" sqref="M11"/>
      <pageMargins left="0.56999999999999995" right="0.38" top="0.75" bottom="0.75" header="0.3" footer="0.3"/>
      <pageSetup paperSize="9" orientation="portrait" r:id="rId1"/>
    </customSheetView>
    <customSheetView guid="{C8BAC6B5-86E1-4F54-AEAC-1412291311FD}" scale="115" showPageBreaks="1" printArea="1" view="pageBreakPreview">
      <selection activeCell="M11" sqref="M11"/>
      <pageMargins left="0.56999999999999995" right="0.38" top="0.75" bottom="0.75" header="0.3" footer="0.3"/>
      <pageSetup paperSize="9" orientation="portrait" r:id="rId2"/>
    </customSheetView>
  </customSheetViews>
  <mergeCells count="33">
    <mergeCell ref="C42:E42"/>
    <mergeCell ref="C43:E43"/>
    <mergeCell ref="C44:E44"/>
    <mergeCell ref="G41:H41"/>
    <mergeCell ref="G42:H42"/>
    <mergeCell ref="G43:H43"/>
    <mergeCell ref="G44:H44"/>
    <mergeCell ref="A35:C35"/>
    <mergeCell ref="C41:E41"/>
    <mergeCell ref="A31:C31"/>
    <mergeCell ref="D31:E31"/>
    <mergeCell ref="D35:I36"/>
    <mergeCell ref="G22:J22"/>
    <mergeCell ref="A27:E28"/>
    <mergeCell ref="F27:J28"/>
    <mergeCell ref="A29:C29"/>
    <mergeCell ref="A30:C30"/>
    <mergeCell ref="D29:E29"/>
    <mergeCell ref="D30:E30"/>
    <mergeCell ref="F29:J29"/>
    <mergeCell ref="F30:J30"/>
    <mergeCell ref="G21:J21"/>
    <mergeCell ref="D12:E12"/>
    <mergeCell ref="D13:E13"/>
    <mergeCell ref="D14:E14"/>
    <mergeCell ref="A1:J4"/>
    <mergeCell ref="A10:J10"/>
    <mergeCell ref="G16:J16"/>
    <mergeCell ref="G17:J17"/>
    <mergeCell ref="G18:J18"/>
    <mergeCell ref="G19:J19"/>
    <mergeCell ref="G20:J20"/>
    <mergeCell ref="A7:J9"/>
  </mergeCells>
  <pageMargins left="0.56999999999999995" right="0.38" top="0.75" bottom="0.75" header="0.3" footer="0.3"/>
  <pageSetup paperSize="9" orientation="portrait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K52"/>
  <sheetViews>
    <sheetView zoomScaleNormal="100" zoomScaleSheetLayoutView="100" workbookViewId="0">
      <selection activeCell="D6" sqref="D6"/>
    </sheetView>
  </sheetViews>
  <sheetFormatPr defaultRowHeight="14.4"/>
  <cols>
    <col min="1" max="1" width="19" customWidth="1"/>
    <col min="2" max="2" width="18.33203125" customWidth="1"/>
    <col min="3" max="3" width="21.6640625" customWidth="1"/>
    <col min="4" max="4" width="39" customWidth="1"/>
    <col min="6" max="6" width="9.33203125" bestFit="1" customWidth="1"/>
    <col min="11" max="11" width="10.109375" bestFit="1" customWidth="1"/>
  </cols>
  <sheetData>
    <row r="1" spans="1:11" ht="49.95" customHeight="1" thickTop="1">
      <c r="A1" s="451" t="str">
        <f>Bilgiler!D2</f>
        <v>İl Geneli Mobil Okuma Cihazı Kullanarak On-Line ve Off-Line Sayaç Endeks Tespiti, Fatura Dağıtımı,Sayaç Mühürlenmesi, Sayaç Sökme-Takma, Su Kapama veya Su Açma, Sayaç Alımı ve Kaçak Tespiti Hizmeti</v>
      </c>
      <c r="B1" s="452"/>
      <c r="C1" s="452"/>
      <c r="D1" s="453"/>
    </row>
    <row r="2" spans="1:11" ht="22.95" customHeight="1">
      <c r="A2" s="454" t="str">
        <f>TEXT(Bilgiler!D11,"GG.AA.YYYY")&amp;" TARİHİNE KADAR YAPILAN İŞLERE AİT "&amp;Bilgiler!D10&amp;" NO'LU HAKEDİŞ RAPORU"</f>
        <v>28.02.2026 TARİHİNE KADAR YAPILAN İŞLERE AİT 4 NO'LU HAKEDİŞ RAPORU</v>
      </c>
      <c r="B2" s="455"/>
      <c r="C2" s="455"/>
      <c r="D2" s="456"/>
    </row>
    <row r="3" spans="1:11">
      <c r="A3" s="457" t="s">
        <v>132</v>
      </c>
      <c r="B3" s="458" t="s">
        <v>133</v>
      </c>
      <c r="C3" s="42" t="s">
        <v>167</v>
      </c>
      <c r="D3" s="44">
        <f>Çarşaf!BD19</f>
        <v>20250000</v>
      </c>
    </row>
    <row r="4" spans="1:11">
      <c r="A4" s="457"/>
      <c r="B4" s="458"/>
      <c r="C4" s="42" t="s">
        <v>168</v>
      </c>
      <c r="D4" s="44">
        <f>Çarşaf!BD14+Çarşaf!BD15+Çarşaf!BD16+Çarşaf!BD17+Çarşaf!BD18+Çarşaf!BD20</f>
        <v>21849240</v>
      </c>
    </row>
    <row r="5" spans="1:11">
      <c r="A5" s="457"/>
      <c r="B5" s="458"/>
      <c r="C5" s="42" t="s">
        <v>131</v>
      </c>
      <c r="D5" s="44">
        <f>D3+D4</f>
        <v>42099240</v>
      </c>
      <c r="I5" s="58"/>
    </row>
    <row r="6" spans="1:11">
      <c r="A6" s="45" t="s">
        <v>134</v>
      </c>
      <c r="B6" s="419" t="s">
        <v>135</v>
      </c>
      <c r="C6" s="419"/>
      <c r="D6" s="44">
        <f>'Fiyat Farkı Tutanağı'!F30</f>
        <v>0</v>
      </c>
    </row>
    <row r="7" spans="1:11">
      <c r="A7" s="45" t="s">
        <v>136</v>
      </c>
      <c r="B7" s="419" t="s">
        <v>137</v>
      </c>
      <c r="C7" s="419"/>
      <c r="D7" s="44">
        <f>D5+D6</f>
        <v>42099240</v>
      </c>
    </row>
    <row r="8" spans="1:11">
      <c r="A8" s="45" t="s">
        <v>139</v>
      </c>
      <c r="B8" s="419" t="s">
        <v>138</v>
      </c>
      <c r="C8" s="419"/>
      <c r="D8" s="44">
        <f>Bilgiler!D21</f>
        <v>42099240</v>
      </c>
    </row>
    <row r="9" spans="1:11">
      <c r="A9" s="45" t="s">
        <v>142</v>
      </c>
      <c r="B9" s="419" t="s">
        <v>140</v>
      </c>
      <c r="C9" s="419"/>
      <c r="D9" s="44">
        <f>D7-D8</f>
        <v>0</v>
      </c>
    </row>
    <row r="10" spans="1:11">
      <c r="A10" s="45" t="s">
        <v>143</v>
      </c>
      <c r="B10" s="460" t="s">
        <v>179</v>
      </c>
      <c r="C10" s="461"/>
      <c r="D10" s="44">
        <f>D9*0.2</f>
        <v>0</v>
      </c>
    </row>
    <row r="11" spans="1:11">
      <c r="A11" s="46" t="s">
        <v>148</v>
      </c>
      <c r="B11" s="462" t="s">
        <v>141</v>
      </c>
      <c r="C11" s="462"/>
      <c r="D11" s="47">
        <f>D9+D10</f>
        <v>0</v>
      </c>
    </row>
    <row r="12" spans="1:11">
      <c r="A12" s="48"/>
      <c r="D12" s="49"/>
    </row>
    <row r="13" spans="1:11">
      <c r="A13" s="459" t="s">
        <v>144</v>
      </c>
      <c r="B13" s="419" t="s">
        <v>149</v>
      </c>
      <c r="C13" s="419"/>
      <c r="D13" s="44"/>
    </row>
    <row r="14" spans="1:11">
      <c r="A14" s="459"/>
      <c r="B14" s="419" t="s">
        <v>150</v>
      </c>
      <c r="C14" s="419"/>
      <c r="D14" s="44"/>
      <c r="K14" s="21"/>
    </row>
    <row r="15" spans="1:11">
      <c r="A15" s="459"/>
      <c r="B15" s="419" t="s">
        <v>175</v>
      </c>
      <c r="C15" s="419"/>
      <c r="D15" s="44"/>
      <c r="K15" s="21"/>
    </row>
    <row r="16" spans="1:11">
      <c r="A16" s="459"/>
      <c r="B16" s="460" t="s">
        <v>166</v>
      </c>
      <c r="C16" s="461"/>
      <c r="D16" s="44"/>
      <c r="K16" s="21"/>
    </row>
    <row r="17" spans="1:11">
      <c r="A17" s="459"/>
      <c r="B17" s="463" t="s">
        <v>169</v>
      </c>
      <c r="C17" s="463"/>
      <c r="D17" s="44"/>
    </row>
    <row r="18" spans="1:11">
      <c r="A18" s="459"/>
      <c r="B18" s="419" t="s">
        <v>170</v>
      </c>
      <c r="C18" s="419"/>
      <c r="D18" s="44"/>
      <c r="K18" s="21"/>
    </row>
    <row r="19" spans="1:11">
      <c r="A19" s="459"/>
      <c r="B19" s="419" t="s">
        <v>171</v>
      </c>
      <c r="C19" s="419"/>
      <c r="D19" s="43"/>
      <c r="K19" s="21"/>
    </row>
    <row r="20" spans="1:11">
      <c r="A20" s="459"/>
      <c r="B20" s="419" t="s">
        <v>172</v>
      </c>
      <c r="C20" s="419"/>
      <c r="D20" s="43"/>
    </row>
    <row r="21" spans="1:11">
      <c r="A21" s="459"/>
      <c r="B21" s="419" t="s">
        <v>173</v>
      </c>
      <c r="C21" s="419"/>
      <c r="D21" s="43"/>
    </row>
    <row r="22" spans="1:11">
      <c r="A22" s="459"/>
      <c r="B22" s="419" t="s">
        <v>145</v>
      </c>
      <c r="C22" s="419"/>
      <c r="D22" s="43"/>
    </row>
    <row r="23" spans="1:11">
      <c r="A23" s="459"/>
      <c r="B23" s="419" t="s">
        <v>145</v>
      </c>
      <c r="C23" s="419"/>
      <c r="D23" s="43"/>
    </row>
    <row r="24" spans="1:11">
      <c r="A24" s="459"/>
      <c r="B24" s="419"/>
      <c r="C24" s="419"/>
      <c r="D24" s="43"/>
    </row>
    <row r="25" spans="1:11">
      <c r="A25" s="50" t="s">
        <v>148</v>
      </c>
      <c r="B25" s="460" t="s">
        <v>146</v>
      </c>
      <c r="C25" s="461"/>
      <c r="D25" s="51">
        <f>SUM(D13:D24)</f>
        <v>0</v>
      </c>
      <c r="F25" s="40"/>
    </row>
    <row r="26" spans="1:11">
      <c r="A26" s="52"/>
      <c r="B26" s="447" t="s">
        <v>147</v>
      </c>
      <c r="C26" s="448"/>
      <c r="D26" s="145">
        <f>D11-D25</f>
        <v>0</v>
      </c>
    </row>
    <row r="27" spans="1:11" ht="15.6">
      <c r="A27" s="1"/>
      <c r="B27" s="109"/>
      <c r="C27" s="109"/>
      <c r="D27" s="41"/>
    </row>
    <row r="28" spans="1:11">
      <c r="A28" s="110" t="s">
        <v>14</v>
      </c>
      <c r="B28" s="94" t="s">
        <v>106</v>
      </c>
      <c r="C28" s="449" t="s">
        <v>178</v>
      </c>
      <c r="D28" s="450"/>
    </row>
    <row r="29" spans="1:11" ht="15.75" customHeight="1">
      <c r="A29" s="426" t="str">
        <f>Bilgiler!D3</f>
        <v>ER-SAN ELEKTRİK İNŞ. TAAH.TİC.LTD.ŞTİ.</v>
      </c>
      <c r="B29" s="428"/>
      <c r="C29" s="438" t="s">
        <v>18</v>
      </c>
      <c r="D29" s="439"/>
    </row>
    <row r="30" spans="1:11" ht="15.75" customHeight="1">
      <c r="A30" s="426"/>
      <c r="B30" s="428"/>
      <c r="C30" s="440">
        <f>Bilgiler!D22</f>
        <v>46085</v>
      </c>
      <c r="D30" s="441"/>
    </row>
    <row r="31" spans="1:11" ht="15.75" customHeight="1">
      <c r="A31" s="426"/>
      <c r="B31" s="428"/>
      <c r="C31" s="436" t="str">
        <f>Bilgiler!D12</f>
        <v xml:space="preserve"> ÖMER FARUK YAŞAR      -     HARUN KAZANCI    -      ÖMER BUCAK</v>
      </c>
      <c r="D31" s="437"/>
    </row>
    <row r="32" spans="1:11" ht="15" customHeight="1">
      <c r="A32" s="426"/>
      <c r="B32" s="428"/>
      <c r="C32" s="443" t="str">
        <f>Bilgiler!D13</f>
        <v>İDARİ İŞLER SORUMLUSU  -  OKUMA YÖNETİCİSİ -   SAYAÇ VERİ GİRİŞ OP.</v>
      </c>
      <c r="D32" s="444"/>
    </row>
    <row r="33" spans="1:4" ht="15" customHeight="1">
      <c r="A33" s="426"/>
      <c r="B33" s="428"/>
      <c r="C33" s="443"/>
      <c r="D33" s="444"/>
    </row>
    <row r="34" spans="1:4" ht="15" customHeight="1">
      <c r="A34" s="426"/>
      <c r="B34" s="428"/>
      <c r="C34" s="443"/>
      <c r="D34" s="444"/>
    </row>
    <row r="35" spans="1:4" ht="15" thickBot="1">
      <c r="A35" s="427"/>
      <c r="B35" s="429"/>
      <c r="C35" s="445"/>
      <c r="D35" s="446"/>
    </row>
    <row r="36" spans="1:4" ht="16.5" customHeight="1" thickTop="1">
      <c r="A36" s="433" t="s">
        <v>163</v>
      </c>
      <c r="B36" s="434"/>
      <c r="C36" s="434"/>
      <c r="D36" s="435"/>
    </row>
    <row r="37" spans="1:4" ht="16.5" customHeight="1">
      <c r="A37" s="442">
        <f>Bilgiler!D22</f>
        <v>46085</v>
      </c>
      <c r="B37" s="431"/>
      <c r="C37" s="431"/>
      <c r="D37" s="432"/>
    </row>
    <row r="38" spans="1:4" ht="16.5" customHeight="1">
      <c r="A38" s="430" t="str">
        <f>Bilgiler!D14</f>
        <v>AHMET BOLAT</v>
      </c>
      <c r="B38" s="431"/>
      <c r="C38" s="431"/>
      <c r="D38" s="432"/>
    </row>
    <row r="39" spans="1:4" ht="16.5" customHeight="1">
      <c r="A39" s="430" t="str">
        <f>Bilgiler!D15</f>
        <v>ABONE KOORDİNASYON ŞUBE MÜDÜRÜ</v>
      </c>
      <c r="B39" s="431"/>
      <c r="C39" s="431"/>
      <c r="D39" s="432"/>
    </row>
    <row r="40" spans="1:4">
      <c r="A40" s="56"/>
      <c r="B40" s="74"/>
      <c r="C40" s="74"/>
      <c r="D40" s="57"/>
    </row>
    <row r="41" spans="1:4">
      <c r="A41" s="56"/>
      <c r="B41" s="74"/>
      <c r="C41" s="74"/>
      <c r="D41" s="57"/>
    </row>
    <row r="42" spans="1:4">
      <c r="A42" s="56"/>
      <c r="B42" s="74"/>
      <c r="C42" s="74"/>
      <c r="D42" s="60"/>
    </row>
    <row r="43" spans="1:4" ht="15" thickBot="1">
      <c r="A43" s="61"/>
      <c r="B43" s="59"/>
      <c r="C43" s="59"/>
      <c r="D43" s="62"/>
    </row>
    <row r="44" spans="1:4" ht="15" thickTop="1">
      <c r="A44" s="53"/>
      <c r="B44" s="54"/>
      <c r="C44" s="54"/>
      <c r="D44" s="55"/>
    </row>
    <row r="45" spans="1:4">
      <c r="A45" s="433" t="s">
        <v>197</v>
      </c>
      <c r="B45" s="434"/>
      <c r="C45" s="434"/>
      <c r="D45" s="435"/>
    </row>
    <row r="46" spans="1:4">
      <c r="A46" s="56"/>
      <c r="B46" s="74"/>
      <c r="C46" s="74"/>
      <c r="D46" s="57"/>
    </row>
    <row r="47" spans="1:4">
      <c r="A47" s="430" t="s">
        <v>256</v>
      </c>
      <c r="B47" s="431"/>
      <c r="C47" s="431"/>
      <c r="D47" s="432"/>
    </row>
    <row r="48" spans="1:4">
      <c r="A48" s="430" t="str">
        <f>Bilgiler!D16</f>
        <v>KEMALETTİN GÜNEN</v>
      </c>
      <c r="B48" s="431"/>
      <c r="C48" s="431"/>
      <c r="D48" s="432"/>
    </row>
    <row r="49" spans="1:4">
      <c r="A49" s="430" t="str">
        <f>Bilgiler!D17</f>
        <v>ABONE İŞLERİ DAİRE BAŞKANI</v>
      </c>
      <c r="B49" s="431"/>
      <c r="C49" s="431"/>
      <c r="D49" s="432"/>
    </row>
    <row r="50" spans="1:4" ht="15" thickBot="1">
      <c r="A50" s="23"/>
      <c r="B50" s="24"/>
      <c r="C50" s="24"/>
      <c r="D50" s="111"/>
    </row>
    <row r="51" spans="1:4" ht="15.6" thickTop="1" thickBot="1">
      <c r="A51" s="23"/>
      <c r="B51" s="24"/>
      <c r="C51" s="24"/>
      <c r="D51" s="25"/>
    </row>
    <row r="52" spans="1:4" ht="15" thickTop="1"/>
  </sheetData>
  <mergeCells count="40">
    <mergeCell ref="A13:A24"/>
    <mergeCell ref="B25:C25"/>
    <mergeCell ref="B7:C7"/>
    <mergeCell ref="B8:C8"/>
    <mergeCell ref="B9:C9"/>
    <mergeCell ref="B11:C11"/>
    <mergeCell ref="B10:C10"/>
    <mergeCell ref="B13:C13"/>
    <mergeCell ref="B14:C14"/>
    <mergeCell ref="B15:C15"/>
    <mergeCell ref="B17:C17"/>
    <mergeCell ref="B18:C18"/>
    <mergeCell ref="B16:C16"/>
    <mergeCell ref="A1:D1"/>
    <mergeCell ref="A2:D2"/>
    <mergeCell ref="A3:A5"/>
    <mergeCell ref="B3:B5"/>
    <mergeCell ref="B6:C6"/>
    <mergeCell ref="B26:C26"/>
    <mergeCell ref="C28:D28"/>
    <mergeCell ref="B19:C19"/>
    <mergeCell ref="B20:C20"/>
    <mergeCell ref="B21:C21"/>
    <mergeCell ref="B22:C22"/>
    <mergeCell ref="B23:C23"/>
    <mergeCell ref="B24:C24"/>
    <mergeCell ref="A29:A35"/>
    <mergeCell ref="B29:B35"/>
    <mergeCell ref="A49:D49"/>
    <mergeCell ref="A45:D45"/>
    <mergeCell ref="A47:D47"/>
    <mergeCell ref="A48:D48"/>
    <mergeCell ref="C31:D31"/>
    <mergeCell ref="C29:D29"/>
    <mergeCell ref="C30:D30"/>
    <mergeCell ref="A36:D36"/>
    <mergeCell ref="A37:D37"/>
    <mergeCell ref="A38:D38"/>
    <mergeCell ref="A39:D39"/>
    <mergeCell ref="C32:D35"/>
  </mergeCells>
  <pageMargins left="0.35433070866141736" right="0.35433070866141736" top="0.47244094488188981" bottom="0.43307086614173229" header="0.31496062992125984" footer="0.31496062992125984"/>
  <pageSetup paperSize="9" scale="9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AA106"/>
  <sheetViews>
    <sheetView zoomScaleNormal="100" zoomScaleSheetLayoutView="100" workbookViewId="0">
      <selection activeCell="N30" sqref="N30:P30"/>
    </sheetView>
  </sheetViews>
  <sheetFormatPr defaultRowHeight="14.4"/>
  <cols>
    <col min="1" max="27" width="5.6640625" customWidth="1"/>
  </cols>
  <sheetData>
    <row r="1" spans="1:27" ht="12.75" customHeight="1" thickTop="1">
      <c r="A1" s="567"/>
      <c r="B1" s="568"/>
      <c r="C1" s="568"/>
      <c r="D1" s="568"/>
      <c r="E1" s="552" t="str">
        <f>Bilgiler!D1</f>
        <v xml:space="preserve">T.C. 
KAHRAMANMARAŞ  SU VE KANALİZASYON İDARESİ GENEL MÜDÜRLÜĞÜ
ABONE İŞLERİ DAİRESİ BAŞKANLIĞI </v>
      </c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554"/>
      <c r="X1" s="558" t="s">
        <v>20</v>
      </c>
      <c r="Y1" s="559"/>
      <c r="Z1" s="559"/>
      <c r="AA1" s="564">
        <v>1</v>
      </c>
    </row>
    <row r="2" spans="1:27" ht="12.75" customHeight="1">
      <c r="A2" s="569"/>
      <c r="B2" s="153"/>
      <c r="C2" s="153"/>
      <c r="D2" s="153"/>
      <c r="E2" s="438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556"/>
      <c r="X2" s="560"/>
      <c r="Y2" s="561"/>
      <c r="Z2" s="561"/>
      <c r="AA2" s="565"/>
    </row>
    <row r="3" spans="1:27" ht="12.75" customHeight="1">
      <c r="A3" s="569"/>
      <c r="B3" s="153"/>
      <c r="C3" s="153"/>
      <c r="D3" s="153"/>
      <c r="E3" s="557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562"/>
      <c r="Y3" s="563"/>
      <c r="Z3" s="563"/>
      <c r="AA3" s="566"/>
    </row>
    <row r="4" spans="1:27" ht="24" customHeight="1">
      <c r="A4" s="570" t="s">
        <v>21</v>
      </c>
      <c r="B4" s="507"/>
      <c r="C4" s="507"/>
      <c r="D4" s="507"/>
      <c r="E4" s="571" t="str">
        <f>Bilgiler!D2</f>
        <v>İl Geneli Mobil Okuma Cihazı Kullanarak On-Line ve Off-Line Sayaç Endeks Tespiti, Fatura Dağıtımı,Sayaç Mühürlenmesi, Sayaç Sökme-Takma, Su Kapama veya Su Açma, Sayaç Alımı ve Kaçak Tespiti Hizmeti</v>
      </c>
      <c r="F4" s="572"/>
      <c r="G4" s="572"/>
      <c r="H4" s="572"/>
      <c r="I4" s="572"/>
      <c r="J4" s="572"/>
      <c r="K4" s="572"/>
      <c r="L4" s="572"/>
      <c r="M4" s="572"/>
      <c r="N4" s="572"/>
      <c r="O4" s="572"/>
      <c r="P4" s="572"/>
      <c r="Q4" s="572"/>
      <c r="R4" s="572"/>
      <c r="S4" s="572"/>
      <c r="T4" s="572"/>
      <c r="U4" s="572"/>
      <c r="V4" s="572"/>
      <c r="W4" s="572"/>
      <c r="X4" s="572"/>
      <c r="Y4" s="572"/>
      <c r="Z4" s="572"/>
      <c r="AA4" s="573"/>
    </row>
    <row r="5" spans="1:27" ht="12" customHeight="1">
      <c r="A5" s="574" t="s">
        <v>22</v>
      </c>
      <c r="B5" s="575"/>
      <c r="C5" s="575"/>
      <c r="D5" s="575"/>
      <c r="E5" s="431"/>
      <c r="F5" s="431"/>
      <c r="G5" s="431"/>
      <c r="H5" s="431"/>
      <c r="I5" s="431"/>
      <c r="J5" s="431"/>
      <c r="K5" s="431"/>
      <c r="L5" s="431"/>
      <c r="M5" s="431"/>
      <c r="N5" s="431"/>
      <c r="O5" s="431"/>
      <c r="P5" s="576" t="s">
        <v>14</v>
      </c>
      <c r="Q5" s="576"/>
      <c r="R5" s="576"/>
      <c r="S5" s="579" t="str">
        <f>Bilgiler!D3</f>
        <v>ER-SAN ELEKTRİK İNŞ. TAAH.TİC.LTD.ŞTİ.</v>
      </c>
      <c r="T5" s="579"/>
      <c r="U5" s="579"/>
      <c r="V5" s="579"/>
      <c r="W5" s="579"/>
      <c r="X5" s="579"/>
      <c r="Y5" s="579"/>
      <c r="Z5" s="579"/>
      <c r="AA5" s="580"/>
    </row>
    <row r="6" spans="1:27" ht="12" customHeight="1">
      <c r="A6" s="574"/>
      <c r="B6" s="575"/>
      <c r="C6" s="575"/>
      <c r="D6" s="575"/>
      <c r="E6" s="431"/>
      <c r="F6" s="431"/>
      <c r="G6" s="431"/>
      <c r="H6" s="431"/>
      <c r="I6" s="431"/>
      <c r="J6" s="431"/>
      <c r="K6" s="431"/>
      <c r="L6" s="431"/>
      <c r="M6" s="431"/>
      <c r="N6" s="431"/>
      <c r="O6" s="431"/>
      <c r="P6" s="530" t="s">
        <v>25</v>
      </c>
      <c r="Q6" s="530"/>
      <c r="R6" s="530"/>
      <c r="S6" s="524"/>
      <c r="T6" s="524"/>
      <c r="U6" s="524"/>
      <c r="V6" s="524"/>
      <c r="W6" s="524"/>
      <c r="X6" s="524"/>
      <c r="Y6" s="524"/>
      <c r="Z6" s="524"/>
      <c r="AA6" s="527"/>
    </row>
    <row r="7" spans="1:27" ht="12" customHeight="1">
      <c r="A7" s="574"/>
      <c r="B7" s="575"/>
      <c r="C7" s="575"/>
      <c r="D7" s="575"/>
      <c r="E7" s="431"/>
      <c r="F7" s="431"/>
      <c r="G7" s="431"/>
      <c r="H7" s="431"/>
      <c r="I7" s="431"/>
      <c r="J7" s="431"/>
      <c r="K7" s="431"/>
      <c r="L7" s="431"/>
      <c r="M7" s="431"/>
      <c r="N7" s="431"/>
      <c r="O7" s="431"/>
      <c r="P7" s="530" t="s">
        <v>23</v>
      </c>
      <c r="Q7" s="530"/>
      <c r="R7" s="528"/>
      <c r="S7" s="528"/>
      <c r="T7" s="528"/>
      <c r="U7" s="528"/>
      <c r="V7" s="578" t="s">
        <v>24</v>
      </c>
      <c r="W7" s="578"/>
      <c r="X7" s="528"/>
      <c r="Y7" s="528"/>
      <c r="Z7" s="528"/>
      <c r="AA7" s="529"/>
    </row>
    <row r="8" spans="1:27" ht="12" customHeight="1">
      <c r="A8" s="574"/>
      <c r="B8" s="575"/>
      <c r="C8" s="575"/>
      <c r="D8" s="575"/>
      <c r="E8" s="431"/>
      <c r="F8" s="431"/>
      <c r="G8" s="431"/>
      <c r="H8" s="431"/>
      <c r="I8" s="431"/>
      <c r="J8" s="431"/>
      <c r="K8" s="431"/>
      <c r="L8" s="431"/>
      <c r="M8" s="431"/>
      <c r="N8" s="431"/>
      <c r="O8" s="431"/>
      <c r="P8" s="530" t="s">
        <v>26</v>
      </c>
      <c r="Q8" s="530"/>
      <c r="R8" s="530"/>
      <c r="S8" s="530"/>
      <c r="T8" s="531" t="s">
        <v>0</v>
      </c>
      <c r="U8" s="531"/>
      <c r="V8" s="531"/>
      <c r="W8" s="531"/>
      <c r="X8" s="531"/>
      <c r="Y8" s="531"/>
      <c r="Z8" s="531"/>
      <c r="AA8" s="532"/>
    </row>
    <row r="9" spans="1:27" ht="12" customHeight="1">
      <c r="A9" s="574"/>
      <c r="B9" s="575"/>
      <c r="C9" s="575"/>
      <c r="D9" s="575"/>
      <c r="E9" s="431"/>
      <c r="F9" s="431"/>
      <c r="G9" s="431"/>
      <c r="H9" s="431"/>
      <c r="I9" s="431"/>
      <c r="J9" s="431"/>
      <c r="K9" s="431"/>
      <c r="L9" s="431"/>
      <c r="M9" s="431"/>
      <c r="N9" s="431"/>
      <c r="O9" s="431"/>
      <c r="P9" s="528"/>
      <c r="Q9" s="528"/>
      <c r="R9" s="528"/>
      <c r="S9" s="528"/>
      <c r="T9" s="528"/>
      <c r="U9" s="528"/>
      <c r="V9" s="528"/>
      <c r="W9" s="528"/>
      <c r="X9" s="528"/>
      <c r="Y9" s="528"/>
      <c r="Z9" s="528"/>
      <c r="AA9" s="529"/>
    </row>
    <row r="10" spans="1:27" ht="12" customHeight="1">
      <c r="A10" s="574"/>
      <c r="B10" s="575"/>
      <c r="C10" s="575"/>
      <c r="D10" s="575"/>
      <c r="E10" s="431"/>
      <c r="F10" s="431"/>
      <c r="G10" s="431"/>
      <c r="H10" s="431"/>
      <c r="I10" s="431"/>
      <c r="J10" s="431"/>
      <c r="K10" s="431"/>
      <c r="L10" s="431"/>
      <c r="M10" s="431"/>
      <c r="N10" s="431"/>
      <c r="O10" s="431"/>
      <c r="P10" s="530" t="s">
        <v>27</v>
      </c>
      <c r="Q10" s="530"/>
      <c r="R10" s="530"/>
      <c r="S10" s="530"/>
      <c r="T10" s="521" t="str">
        <f>Bilgiler!D12</f>
        <v xml:space="preserve"> ÖMER FARUK YAŞAR      -     HARUN KAZANCI    -      ÖMER BUCAK</v>
      </c>
      <c r="U10" s="521"/>
      <c r="V10" s="521"/>
      <c r="W10" s="521"/>
      <c r="X10" s="521"/>
      <c r="Y10" s="521"/>
      <c r="Z10" s="521"/>
      <c r="AA10" s="577"/>
    </row>
    <row r="11" spans="1:27" ht="12" customHeight="1">
      <c r="A11" s="574"/>
      <c r="B11" s="575"/>
      <c r="C11" s="575"/>
      <c r="D11" s="575"/>
      <c r="E11" s="431"/>
      <c r="F11" s="431"/>
      <c r="G11" s="431"/>
      <c r="H11" s="431"/>
      <c r="I11" s="431"/>
      <c r="J11" s="431"/>
      <c r="K11" s="431"/>
      <c r="L11" s="431"/>
      <c r="M11" s="431"/>
      <c r="N11" s="431"/>
      <c r="O11" s="431"/>
      <c r="P11" s="530" t="s">
        <v>28</v>
      </c>
      <c r="Q11" s="530"/>
      <c r="R11" s="530"/>
      <c r="S11" s="530"/>
      <c r="T11" s="531" t="str">
        <f>Bilgiler!D16</f>
        <v>KEMALETTİN GÜNEN</v>
      </c>
      <c r="U11" s="531"/>
      <c r="V11" s="531"/>
      <c r="W11" s="531"/>
      <c r="X11" s="531"/>
      <c r="Y11" s="531"/>
      <c r="Z11" s="531"/>
      <c r="AA11" s="532"/>
    </row>
    <row r="12" spans="1:27" ht="12" customHeight="1">
      <c r="A12" s="533" t="s">
        <v>29</v>
      </c>
      <c r="B12" s="534"/>
      <c r="C12" s="534"/>
      <c r="D12" s="534"/>
      <c r="E12" s="534"/>
      <c r="F12" s="534"/>
      <c r="G12" s="534"/>
      <c r="H12" s="534"/>
      <c r="I12" s="534"/>
      <c r="J12" s="534"/>
      <c r="K12" s="534"/>
      <c r="L12" s="534"/>
      <c r="M12" s="534"/>
      <c r="N12" s="534"/>
      <c r="O12" s="534"/>
      <c r="P12" s="534"/>
      <c r="Q12" s="534"/>
      <c r="R12" s="534"/>
      <c r="S12" s="535"/>
      <c r="T12" s="536" t="s">
        <v>30</v>
      </c>
      <c r="U12" s="534"/>
      <c r="V12" s="534"/>
      <c r="W12" s="534"/>
      <c r="X12" s="534"/>
      <c r="Y12" s="534"/>
      <c r="Z12" s="534"/>
      <c r="AA12" s="537"/>
    </row>
    <row r="13" spans="1:27" ht="12" customHeight="1">
      <c r="A13" s="538" t="s">
        <v>177</v>
      </c>
      <c r="B13" s="522"/>
      <c r="C13" s="522"/>
      <c r="D13" s="522"/>
      <c r="E13" s="522"/>
      <c r="F13" s="522"/>
      <c r="G13" s="522" t="s">
        <v>31</v>
      </c>
      <c r="H13" s="522"/>
      <c r="I13" s="522"/>
      <c r="J13" s="522"/>
      <c r="K13" s="522"/>
      <c r="L13" s="522"/>
      <c r="M13" s="522" t="s">
        <v>32</v>
      </c>
      <c r="N13" s="522"/>
      <c r="O13" s="522"/>
      <c r="P13" s="522" t="s">
        <v>33</v>
      </c>
      <c r="Q13" s="522"/>
      <c r="R13" s="522"/>
      <c r="S13" s="524" t="s">
        <v>34</v>
      </c>
      <c r="T13" s="524"/>
      <c r="U13" s="524"/>
      <c r="V13" s="524"/>
      <c r="W13" s="524"/>
      <c r="X13" s="516">
        <f>Bilgiler!D8</f>
        <v>45964</v>
      </c>
      <c r="Y13" s="516"/>
      <c r="Z13" s="516"/>
      <c r="AA13" s="517"/>
    </row>
    <row r="14" spans="1:27" ht="12" customHeight="1">
      <c r="A14" s="539" t="s">
        <v>40</v>
      </c>
      <c r="B14" s="518"/>
      <c r="C14" s="518"/>
      <c r="D14" s="518"/>
      <c r="E14" s="518"/>
      <c r="F14" s="518"/>
      <c r="G14" s="543">
        <f>Bilgiler!D7</f>
        <v>114950000</v>
      </c>
      <c r="H14" s="544"/>
      <c r="I14" s="544"/>
      <c r="J14" s="544"/>
      <c r="K14" s="544"/>
      <c r="L14" s="544"/>
      <c r="M14" s="523">
        <v>45964</v>
      </c>
      <c r="N14" s="522"/>
      <c r="O14" s="522"/>
      <c r="P14" s="522"/>
      <c r="Q14" s="522"/>
      <c r="R14" s="522"/>
      <c r="S14" s="524" t="s">
        <v>35</v>
      </c>
      <c r="T14" s="524"/>
      <c r="U14" s="524"/>
      <c r="V14" s="524"/>
      <c r="W14" s="524"/>
      <c r="X14" s="516">
        <f>Bilgiler!D19</f>
        <v>45966</v>
      </c>
      <c r="Y14" s="516"/>
      <c r="Z14" s="516"/>
      <c r="AA14" s="517"/>
    </row>
    <row r="15" spans="1:27" ht="12" customHeight="1">
      <c r="A15" s="539" t="s">
        <v>41</v>
      </c>
      <c r="B15" s="518"/>
      <c r="C15" s="518"/>
      <c r="D15" s="518"/>
      <c r="E15" s="518"/>
      <c r="F15" s="518"/>
      <c r="G15" s="543"/>
      <c r="H15" s="544"/>
      <c r="I15" s="544"/>
      <c r="J15" s="544"/>
      <c r="K15" s="544"/>
      <c r="L15" s="544"/>
      <c r="M15" s="522"/>
      <c r="N15" s="522"/>
      <c r="O15" s="522"/>
      <c r="P15" s="522"/>
      <c r="Q15" s="522"/>
      <c r="R15" s="522"/>
      <c r="S15" s="524" t="s">
        <v>36</v>
      </c>
      <c r="T15" s="524"/>
      <c r="U15" s="524"/>
      <c r="V15" s="524"/>
      <c r="W15" s="524"/>
      <c r="X15" s="518">
        <f>Bilgiler!D20</f>
        <v>422</v>
      </c>
      <c r="Y15" s="518"/>
      <c r="Z15" s="518"/>
      <c r="AA15" s="519"/>
    </row>
    <row r="16" spans="1:27" ht="12" customHeight="1">
      <c r="A16" s="540" t="s">
        <v>42</v>
      </c>
      <c r="B16" s="541"/>
      <c r="C16" s="541"/>
      <c r="D16" s="541"/>
      <c r="E16" s="541"/>
      <c r="F16" s="542"/>
      <c r="G16" s="545">
        <f>G14+G15</f>
        <v>114950000</v>
      </c>
      <c r="H16" s="545"/>
      <c r="I16" s="545"/>
      <c r="J16" s="545"/>
      <c r="K16" s="545"/>
      <c r="L16" s="545"/>
      <c r="M16" s="522"/>
      <c r="N16" s="522"/>
      <c r="O16" s="522"/>
      <c r="P16" s="522"/>
      <c r="Q16" s="522"/>
      <c r="R16" s="522"/>
      <c r="S16" s="524" t="s">
        <v>37</v>
      </c>
      <c r="T16" s="524"/>
      <c r="U16" s="524"/>
      <c r="V16" s="524"/>
      <c r="W16" s="524"/>
      <c r="X16" s="516">
        <f>X14+X15-1</f>
        <v>46387</v>
      </c>
      <c r="Y16" s="516"/>
      <c r="Z16" s="516"/>
      <c r="AA16" s="517"/>
    </row>
    <row r="17" spans="1:27" ht="12" customHeight="1">
      <c r="A17" s="520" t="s">
        <v>43</v>
      </c>
      <c r="B17" s="521"/>
      <c r="C17" s="521"/>
      <c r="D17" s="521"/>
      <c r="E17" s="521"/>
      <c r="F17" s="521"/>
      <c r="G17" s="521"/>
      <c r="H17" s="521"/>
      <c r="I17" s="521"/>
      <c r="J17" s="521"/>
      <c r="K17" s="521"/>
      <c r="L17" s="521"/>
      <c r="M17" s="522"/>
      <c r="N17" s="522"/>
      <c r="O17" s="522"/>
      <c r="P17" s="522"/>
      <c r="Q17" s="522"/>
      <c r="R17" s="522"/>
      <c r="S17" s="524" t="s">
        <v>111</v>
      </c>
      <c r="T17" s="524"/>
      <c r="U17" s="524"/>
      <c r="V17" s="524"/>
      <c r="W17" s="524"/>
      <c r="X17" s="516"/>
      <c r="Y17" s="516"/>
      <c r="Z17" s="516"/>
      <c r="AA17" s="517"/>
    </row>
    <row r="18" spans="1:27" ht="12" customHeight="1">
      <c r="A18" s="520" t="s">
        <v>44</v>
      </c>
      <c r="B18" s="521"/>
      <c r="C18" s="521"/>
      <c r="D18" s="521"/>
      <c r="E18" s="521"/>
      <c r="F18" s="521"/>
      <c r="G18" s="521"/>
      <c r="H18" s="521"/>
      <c r="I18" s="521"/>
      <c r="J18" s="521"/>
      <c r="K18" s="521"/>
      <c r="L18" s="521"/>
      <c r="M18" s="522"/>
      <c r="N18" s="522"/>
      <c r="O18" s="522"/>
      <c r="P18" s="522"/>
      <c r="Q18" s="522"/>
      <c r="R18" s="522"/>
      <c r="S18" s="524" t="s">
        <v>38</v>
      </c>
      <c r="T18" s="524"/>
      <c r="U18" s="524"/>
      <c r="V18" s="524"/>
      <c r="W18" s="524"/>
      <c r="X18" s="516"/>
      <c r="Y18" s="516"/>
      <c r="Z18" s="516"/>
      <c r="AA18" s="517"/>
    </row>
    <row r="19" spans="1:27" ht="12" customHeight="1">
      <c r="A19" s="520" t="s">
        <v>45</v>
      </c>
      <c r="B19" s="521"/>
      <c r="C19" s="521"/>
      <c r="D19" s="521"/>
      <c r="E19" s="521"/>
      <c r="F19" s="521"/>
      <c r="G19" s="521"/>
      <c r="H19" s="521"/>
      <c r="I19" s="521"/>
      <c r="J19" s="521"/>
      <c r="K19" s="521"/>
      <c r="L19" s="521"/>
      <c r="M19" s="522"/>
      <c r="N19" s="522"/>
      <c r="O19" s="522"/>
      <c r="P19" s="522"/>
      <c r="Q19" s="522"/>
      <c r="R19" s="522"/>
      <c r="S19" s="524" t="s">
        <v>39</v>
      </c>
      <c r="T19" s="524"/>
      <c r="U19" s="524"/>
      <c r="V19" s="524"/>
      <c r="W19" s="524"/>
      <c r="X19" s="518"/>
      <c r="Y19" s="518"/>
      <c r="Z19" s="518"/>
      <c r="AA19" s="519"/>
    </row>
    <row r="20" spans="1:27" ht="12.75" customHeight="1">
      <c r="A20" s="525" t="s">
        <v>46</v>
      </c>
      <c r="B20" s="526"/>
      <c r="C20" s="526"/>
      <c r="D20" s="2">
        <f>Bilgiler!D10</f>
        <v>4</v>
      </c>
      <c r="E20" s="2" t="s">
        <v>47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0"/>
    </row>
    <row r="21" spans="1:27" ht="46.5" customHeight="1">
      <c r="A21" s="512" t="s">
        <v>48</v>
      </c>
      <c r="B21" s="513"/>
      <c r="C21" s="513"/>
      <c r="D21" s="513" t="s">
        <v>49</v>
      </c>
      <c r="E21" s="513"/>
      <c r="F21" s="513"/>
      <c r="G21" s="513"/>
      <c r="H21" s="513"/>
      <c r="I21" s="513"/>
      <c r="J21" s="513"/>
      <c r="K21" s="513"/>
      <c r="L21" s="513"/>
      <c r="M21" s="513"/>
      <c r="N21" s="514" t="s">
        <v>50</v>
      </c>
      <c r="O21" s="514"/>
      <c r="P21" s="514"/>
      <c r="Q21" s="514" t="s">
        <v>51</v>
      </c>
      <c r="R21" s="514"/>
      <c r="S21" s="514"/>
      <c r="T21" s="514" t="s">
        <v>52</v>
      </c>
      <c r="U21" s="514"/>
      <c r="V21" s="514"/>
      <c r="W21" s="514" t="s">
        <v>53</v>
      </c>
      <c r="X21" s="514"/>
      <c r="Y21" s="514"/>
      <c r="Z21" s="514"/>
      <c r="AA21" s="515"/>
    </row>
    <row r="22" spans="1:27" ht="24" customHeight="1">
      <c r="A22" s="464" t="str">
        <f>BFTC!B5</f>
        <v>KASKİ-01</v>
      </c>
      <c r="B22" s="465"/>
      <c r="C22" s="465"/>
      <c r="D22" s="466" t="str">
        <f>BFTC!C5</f>
        <v>Sayaç Endekslerinin Okunması, Mobil Okuma Cihazı İle Tespiti ve Makbuz Dağıtılması İşlemi</v>
      </c>
      <c r="E22" s="467"/>
      <c r="F22" s="467"/>
      <c r="G22" s="467"/>
      <c r="H22" s="467"/>
      <c r="I22" s="467"/>
      <c r="J22" s="467"/>
      <c r="K22" s="467"/>
      <c r="L22" s="467"/>
      <c r="M22" s="468"/>
      <c r="N22" s="469">
        <f>BFTC!G5</f>
        <v>40000000</v>
      </c>
      <c r="O22" s="469"/>
      <c r="P22" s="469"/>
      <c r="Q22" s="469">
        <f>Çarşaf!AV14</f>
        <v>0</v>
      </c>
      <c r="R22" s="469"/>
      <c r="S22" s="469"/>
      <c r="T22" s="470">
        <f>Q22/N22</f>
        <v>0</v>
      </c>
      <c r="U22" s="470"/>
      <c r="V22" s="470"/>
      <c r="W22" s="470">
        <f>T22</f>
        <v>0</v>
      </c>
      <c r="X22" s="471"/>
      <c r="Y22" s="471"/>
      <c r="Z22" s="471"/>
      <c r="AA22" s="472"/>
    </row>
    <row r="23" spans="1:27" ht="24" customHeight="1">
      <c r="A23" s="464" t="str">
        <f>BFTC!B6</f>
        <v>KASKİ-02</v>
      </c>
      <c r="B23" s="465"/>
      <c r="C23" s="465"/>
      <c r="D23" s="466" t="str">
        <f>BFTC!C6</f>
        <v>Sayaç Endekslerinin Yerinde Yapılan Kontrollerde Tespit Edilememesi (kıyas okuma veya evde yok okuma) İşlemi</v>
      </c>
      <c r="E23" s="467"/>
      <c r="F23" s="467"/>
      <c r="G23" s="467"/>
      <c r="H23" s="467"/>
      <c r="I23" s="467"/>
      <c r="J23" s="467"/>
      <c r="K23" s="467"/>
      <c r="L23" s="467"/>
      <c r="M23" s="468"/>
      <c r="N23" s="469">
        <f>BFTC!G6</f>
        <v>1000000</v>
      </c>
      <c r="O23" s="469"/>
      <c r="P23" s="469"/>
      <c r="Q23" s="469">
        <f>Çarşaf!AV15</f>
        <v>0</v>
      </c>
      <c r="R23" s="469"/>
      <c r="S23" s="469"/>
      <c r="T23" s="470">
        <f t="shared" ref="T23:T28" si="0">Q23/N23</f>
        <v>0</v>
      </c>
      <c r="U23" s="470"/>
      <c r="V23" s="470"/>
      <c r="W23" s="470">
        <f t="shared" ref="W23:W28" si="1">T23</f>
        <v>0</v>
      </c>
      <c r="X23" s="471"/>
      <c r="Y23" s="471"/>
      <c r="Z23" s="471"/>
      <c r="AA23" s="472"/>
    </row>
    <row r="24" spans="1:27" ht="24" customHeight="1">
      <c r="A24" s="464" t="str">
        <f>BFTC!B7</f>
        <v>KASKİ-03</v>
      </c>
      <c r="B24" s="465"/>
      <c r="C24" s="465"/>
      <c r="D24" s="466" t="str">
        <f>BFTC!C7</f>
        <v>Mühürsüz Sayaçların Mühürlemesi</v>
      </c>
      <c r="E24" s="467"/>
      <c r="F24" s="467"/>
      <c r="G24" s="467"/>
      <c r="H24" s="467"/>
      <c r="I24" s="467"/>
      <c r="J24" s="467"/>
      <c r="K24" s="467"/>
      <c r="L24" s="467"/>
      <c r="M24" s="468"/>
      <c r="N24" s="469">
        <f>BFTC!G7</f>
        <v>1000000</v>
      </c>
      <c r="O24" s="469"/>
      <c r="P24" s="469"/>
      <c r="Q24" s="469">
        <f>Çarşaf!AV16</f>
        <v>0</v>
      </c>
      <c r="R24" s="469"/>
      <c r="S24" s="469"/>
      <c r="T24" s="470">
        <f t="shared" si="0"/>
        <v>0</v>
      </c>
      <c r="U24" s="470"/>
      <c r="V24" s="470"/>
      <c r="W24" s="470">
        <f t="shared" si="1"/>
        <v>0</v>
      </c>
      <c r="X24" s="471"/>
      <c r="Y24" s="471"/>
      <c r="Z24" s="471"/>
      <c r="AA24" s="472"/>
    </row>
    <row r="25" spans="1:27" ht="24" customHeight="1">
      <c r="A25" s="464" t="str">
        <f>BFTC!B8</f>
        <v>KASKİ-04</v>
      </c>
      <c r="B25" s="465"/>
      <c r="C25" s="465"/>
      <c r="D25" s="466" t="str">
        <f>BFTC!C8</f>
        <v>Sayaç Sökme ve Sayaç Takma</v>
      </c>
      <c r="E25" s="467"/>
      <c r="F25" s="467"/>
      <c r="G25" s="467"/>
      <c r="H25" s="467"/>
      <c r="I25" s="467"/>
      <c r="J25" s="467"/>
      <c r="K25" s="467"/>
      <c r="L25" s="467"/>
      <c r="M25" s="468"/>
      <c r="N25" s="469">
        <f>BFTC!G8</f>
        <v>11200000</v>
      </c>
      <c r="O25" s="469"/>
      <c r="P25" s="469"/>
      <c r="Q25" s="469">
        <f>Çarşaf!AV17</f>
        <v>0</v>
      </c>
      <c r="R25" s="469"/>
      <c r="S25" s="469"/>
      <c r="T25" s="470">
        <f t="shared" si="0"/>
        <v>0</v>
      </c>
      <c r="U25" s="470"/>
      <c r="V25" s="470"/>
      <c r="W25" s="470">
        <f t="shared" si="1"/>
        <v>0</v>
      </c>
      <c r="X25" s="471"/>
      <c r="Y25" s="471"/>
      <c r="Z25" s="471"/>
      <c r="AA25" s="472"/>
    </row>
    <row r="26" spans="1:27" ht="24" customHeight="1">
      <c r="A26" s="464" t="str">
        <f>BFTC!B9</f>
        <v>KASKİ-05</v>
      </c>
      <c r="B26" s="465"/>
      <c r="C26" s="465"/>
      <c r="D26" s="466" t="str">
        <f>BFTC!C9</f>
        <v>Su Kapama veya Su Açma</v>
      </c>
      <c r="E26" s="467"/>
      <c r="F26" s="467"/>
      <c r="G26" s="467"/>
      <c r="H26" s="467"/>
      <c r="I26" s="467"/>
      <c r="J26" s="467"/>
      <c r="K26" s="467"/>
      <c r="L26" s="467"/>
      <c r="M26" s="468"/>
      <c r="N26" s="469">
        <f>BFTC!G9</f>
        <v>28000000</v>
      </c>
      <c r="O26" s="469"/>
      <c r="P26" s="469"/>
      <c r="Q26" s="469">
        <f>Çarşaf!AV18</f>
        <v>0</v>
      </c>
      <c r="R26" s="469"/>
      <c r="S26" s="469"/>
      <c r="T26" s="470">
        <f t="shared" si="0"/>
        <v>0</v>
      </c>
      <c r="U26" s="470"/>
      <c r="V26" s="470"/>
      <c r="W26" s="470">
        <f t="shared" si="1"/>
        <v>0</v>
      </c>
      <c r="X26" s="471"/>
      <c r="Y26" s="471"/>
      <c r="Z26" s="471"/>
      <c r="AA26" s="472"/>
    </row>
    <row r="27" spans="1:27" ht="24" customHeight="1">
      <c r="A27" s="464" t="str">
        <f>BFTC!B10</f>
        <v>KASKİ-06</v>
      </c>
      <c r="B27" s="465"/>
      <c r="C27" s="465"/>
      <c r="D27" s="466" t="str">
        <f>BFTC!C10</f>
        <v>Sayaç Alımı (Teknik Şartnamede Özellikleri Belirtilen) DN20 190 MM</v>
      </c>
      <c r="E27" s="467"/>
      <c r="F27" s="467"/>
      <c r="G27" s="467"/>
      <c r="H27" s="467"/>
      <c r="I27" s="467"/>
      <c r="J27" s="467"/>
      <c r="K27" s="467"/>
      <c r="L27" s="467"/>
      <c r="M27" s="468"/>
      <c r="N27" s="469">
        <f>BFTC!G10</f>
        <v>20250000</v>
      </c>
      <c r="O27" s="469"/>
      <c r="P27" s="469"/>
      <c r="Q27" s="469">
        <f>Çarşaf!AV19</f>
        <v>0</v>
      </c>
      <c r="R27" s="469"/>
      <c r="S27" s="469"/>
      <c r="T27" s="470">
        <f t="shared" si="0"/>
        <v>0</v>
      </c>
      <c r="U27" s="470"/>
      <c r="V27" s="470"/>
      <c r="W27" s="470">
        <f t="shared" si="1"/>
        <v>0</v>
      </c>
      <c r="X27" s="471"/>
      <c r="Y27" s="471"/>
      <c r="Z27" s="471"/>
      <c r="AA27" s="472"/>
    </row>
    <row r="28" spans="1:27" ht="24" customHeight="1">
      <c r="A28" s="464" t="str">
        <f>BFTC!B11</f>
        <v>KASKİ-07</v>
      </c>
      <c r="B28" s="465"/>
      <c r="C28" s="465"/>
      <c r="D28" s="466" t="str">
        <f>BFTC!C11</f>
        <v>İçme Suyu Hatlarında Sayaçlı Abonesiz, Sayaçsız ve Kaçak Kullanımın Tespit Edilmesi ve Raporlanması</v>
      </c>
      <c r="E28" s="467"/>
      <c r="F28" s="467"/>
      <c r="G28" s="467"/>
      <c r="H28" s="467"/>
      <c r="I28" s="467"/>
      <c r="J28" s="467"/>
      <c r="K28" s="467"/>
      <c r="L28" s="467"/>
      <c r="M28" s="468"/>
      <c r="N28" s="469">
        <f>BFTC!G11</f>
        <v>13500000</v>
      </c>
      <c r="O28" s="469"/>
      <c r="P28" s="469"/>
      <c r="Q28" s="469">
        <f>Çarşaf!AV20</f>
        <v>0</v>
      </c>
      <c r="R28" s="469"/>
      <c r="S28" s="469"/>
      <c r="T28" s="470">
        <f t="shared" si="0"/>
        <v>0</v>
      </c>
      <c r="U28" s="470"/>
      <c r="V28" s="470"/>
      <c r="W28" s="470">
        <f t="shared" si="1"/>
        <v>0</v>
      </c>
      <c r="X28" s="471"/>
      <c r="Y28" s="471"/>
      <c r="Z28" s="471"/>
      <c r="AA28" s="472"/>
    </row>
    <row r="29" spans="1:27" ht="24" customHeight="1">
      <c r="A29" s="479"/>
      <c r="B29" s="480"/>
      <c r="C29" s="481"/>
      <c r="D29" s="482"/>
      <c r="E29" s="483"/>
      <c r="F29" s="483"/>
      <c r="G29" s="483"/>
      <c r="H29" s="483"/>
      <c r="I29" s="483"/>
      <c r="J29" s="483"/>
      <c r="K29" s="483"/>
      <c r="L29" s="483"/>
      <c r="M29" s="484"/>
      <c r="N29" s="485"/>
      <c r="O29" s="486"/>
      <c r="P29" s="487"/>
      <c r="Q29" s="485"/>
      <c r="R29" s="486"/>
      <c r="S29" s="487"/>
      <c r="T29" s="488"/>
      <c r="U29" s="489"/>
      <c r="V29" s="490"/>
      <c r="W29" s="488"/>
      <c r="X29" s="489"/>
      <c r="Y29" s="489"/>
      <c r="Z29" s="489"/>
      <c r="AA29" s="491"/>
    </row>
    <row r="30" spans="1:27" ht="24" customHeight="1">
      <c r="A30" s="414">
        <f>BFTC!B12</f>
        <v>0</v>
      </c>
      <c r="B30" s="349"/>
      <c r="C30" s="349"/>
      <c r="D30" s="473" t="str">
        <f>BFTC!C12</f>
        <v>GENEL TOPLAM</v>
      </c>
      <c r="E30" s="474"/>
      <c r="F30" s="474"/>
      <c r="G30" s="474"/>
      <c r="H30" s="474"/>
      <c r="I30" s="474"/>
      <c r="J30" s="474"/>
      <c r="K30" s="474"/>
      <c r="L30" s="474"/>
      <c r="M30" s="475"/>
      <c r="N30" s="476">
        <f>BFTC!G12</f>
        <v>114950000</v>
      </c>
      <c r="O30" s="476"/>
      <c r="P30" s="476"/>
      <c r="Q30" s="476">
        <f>Çarşaf!AV21</f>
        <v>0</v>
      </c>
      <c r="R30" s="476"/>
      <c r="S30" s="476"/>
      <c r="T30" s="477">
        <f t="shared" ref="T30" si="2">Q30/N30</f>
        <v>0</v>
      </c>
      <c r="U30" s="477"/>
      <c r="V30" s="477"/>
      <c r="W30" s="477">
        <f t="shared" ref="W30" si="3">T30</f>
        <v>0</v>
      </c>
      <c r="X30" s="371"/>
      <c r="Y30" s="371"/>
      <c r="Z30" s="371"/>
      <c r="AA30" s="478"/>
    </row>
    <row r="31" spans="1:27" ht="24" customHeight="1">
      <c r="A31" s="464"/>
      <c r="B31" s="465"/>
      <c r="C31" s="465"/>
      <c r="D31" s="466"/>
      <c r="E31" s="467"/>
      <c r="F31" s="467"/>
      <c r="G31" s="467"/>
      <c r="H31" s="467"/>
      <c r="I31" s="467"/>
      <c r="J31" s="467"/>
      <c r="K31" s="467"/>
      <c r="L31" s="467"/>
      <c r="M31" s="468"/>
      <c r="N31" s="469"/>
      <c r="O31" s="469"/>
      <c r="P31" s="469"/>
      <c r="Q31" s="469"/>
      <c r="R31" s="469"/>
      <c r="S31" s="469"/>
      <c r="T31" s="470"/>
      <c r="U31" s="470"/>
      <c r="V31" s="470"/>
      <c r="W31" s="470"/>
      <c r="X31" s="471"/>
      <c r="Y31" s="471"/>
      <c r="Z31" s="471"/>
      <c r="AA31" s="472"/>
    </row>
    <row r="32" spans="1:27" ht="24" customHeight="1">
      <c r="A32" s="464"/>
      <c r="B32" s="465"/>
      <c r="C32" s="465"/>
      <c r="D32" s="466"/>
      <c r="E32" s="467"/>
      <c r="F32" s="467"/>
      <c r="G32" s="467"/>
      <c r="H32" s="467"/>
      <c r="I32" s="467"/>
      <c r="J32" s="467"/>
      <c r="K32" s="467"/>
      <c r="L32" s="467"/>
      <c r="M32" s="468"/>
      <c r="N32" s="469"/>
      <c r="O32" s="469"/>
      <c r="P32" s="469"/>
      <c r="Q32" s="469"/>
      <c r="R32" s="469"/>
      <c r="S32" s="469"/>
      <c r="T32" s="470"/>
      <c r="U32" s="470"/>
      <c r="V32" s="470"/>
      <c r="W32" s="470"/>
      <c r="X32" s="471"/>
      <c r="Y32" s="471"/>
      <c r="Z32" s="471"/>
      <c r="AA32" s="472"/>
    </row>
    <row r="33" spans="1:27" ht="24" customHeight="1">
      <c r="A33" s="464"/>
      <c r="B33" s="465"/>
      <c r="C33" s="465"/>
      <c r="D33" s="466"/>
      <c r="E33" s="467"/>
      <c r="F33" s="467"/>
      <c r="G33" s="467"/>
      <c r="H33" s="467"/>
      <c r="I33" s="467"/>
      <c r="J33" s="467"/>
      <c r="K33" s="467"/>
      <c r="L33" s="467"/>
      <c r="M33" s="468"/>
      <c r="N33" s="469"/>
      <c r="O33" s="469"/>
      <c r="P33" s="469"/>
      <c r="Q33" s="469"/>
      <c r="R33" s="469"/>
      <c r="S33" s="469"/>
      <c r="T33" s="470"/>
      <c r="U33" s="470"/>
      <c r="V33" s="470"/>
      <c r="W33" s="470"/>
      <c r="X33" s="471"/>
      <c r="Y33" s="471"/>
      <c r="Z33" s="471"/>
      <c r="AA33" s="472"/>
    </row>
    <row r="34" spans="1:27" ht="24" customHeight="1">
      <c r="A34" s="464"/>
      <c r="B34" s="465"/>
      <c r="C34" s="465"/>
      <c r="D34" s="466"/>
      <c r="E34" s="467"/>
      <c r="F34" s="467"/>
      <c r="G34" s="467"/>
      <c r="H34" s="467"/>
      <c r="I34" s="467"/>
      <c r="J34" s="467"/>
      <c r="K34" s="467"/>
      <c r="L34" s="467"/>
      <c r="M34" s="468"/>
      <c r="N34" s="469"/>
      <c r="O34" s="469"/>
      <c r="P34" s="469"/>
      <c r="Q34" s="469"/>
      <c r="R34" s="469"/>
      <c r="S34" s="469"/>
      <c r="T34" s="470"/>
      <c r="U34" s="470"/>
      <c r="V34" s="470"/>
      <c r="W34" s="470"/>
      <c r="X34" s="471"/>
      <c r="Y34" s="471"/>
      <c r="Z34" s="471"/>
      <c r="AA34" s="472"/>
    </row>
    <row r="35" spans="1:27" ht="24" customHeight="1">
      <c r="A35" s="464"/>
      <c r="B35" s="465"/>
      <c r="C35" s="465"/>
      <c r="D35" s="466"/>
      <c r="E35" s="467"/>
      <c r="F35" s="467"/>
      <c r="G35" s="467"/>
      <c r="H35" s="467"/>
      <c r="I35" s="467"/>
      <c r="J35" s="467"/>
      <c r="K35" s="467"/>
      <c r="L35" s="467"/>
      <c r="M35" s="468"/>
      <c r="N35" s="469"/>
      <c r="O35" s="469"/>
      <c r="P35" s="469"/>
      <c r="Q35" s="469"/>
      <c r="R35" s="469"/>
      <c r="S35" s="469"/>
      <c r="T35" s="470"/>
      <c r="U35" s="470"/>
      <c r="V35" s="470"/>
      <c r="W35" s="470"/>
      <c r="X35" s="471"/>
      <c r="Y35" s="471"/>
      <c r="Z35" s="471"/>
      <c r="AA35" s="472"/>
    </row>
    <row r="36" spans="1:27" ht="24" customHeight="1">
      <c r="A36" s="464"/>
      <c r="B36" s="465"/>
      <c r="C36" s="465"/>
      <c r="D36" s="466"/>
      <c r="E36" s="467"/>
      <c r="F36" s="467"/>
      <c r="G36" s="467"/>
      <c r="H36" s="467"/>
      <c r="I36" s="467"/>
      <c r="J36" s="467"/>
      <c r="K36" s="467"/>
      <c r="L36" s="467"/>
      <c r="M36" s="468"/>
      <c r="N36" s="469"/>
      <c r="O36" s="469"/>
      <c r="P36" s="469"/>
      <c r="Q36" s="469"/>
      <c r="R36" s="469"/>
      <c r="S36" s="469"/>
      <c r="T36" s="470"/>
      <c r="U36" s="470"/>
      <c r="V36" s="470"/>
      <c r="W36" s="470"/>
      <c r="X36" s="471"/>
      <c r="Y36" s="471"/>
      <c r="Z36" s="471"/>
      <c r="AA36" s="472"/>
    </row>
    <row r="37" spans="1:27" ht="24" customHeight="1">
      <c r="A37" s="464"/>
      <c r="B37" s="465"/>
      <c r="C37" s="465"/>
      <c r="D37" s="466"/>
      <c r="E37" s="467"/>
      <c r="F37" s="467"/>
      <c r="G37" s="467"/>
      <c r="H37" s="467"/>
      <c r="I37" s="467"/>
      <c r="J37" s="467"/>
      <c r="K37" s="467"/>
      <c r="L37" s="467"/>
      <c r="M37" s="468"/>
      <c r="N37" s="469"/>
      <c r="O37" s="469"/>
      <c r="P37" s="469"/>
      <c r="Q37" s="469"/>
      <c r="R37" s="469"/>
      <c r="S37" s="469"/>
      <c r="T37" s="470"/>
      <c r="U37" s="470"/>
      <c r="V37" s="470"/>
      <c r="W37" s="470"/>
      <c r="X37" s="471"/>
      <c r="Y37" s="471"/>
      <c r="Z37" s="471"/>
      <c r="AA37" s="472"/>
    </row>
    <row r="38" spans="1:27" ht="24" customHeight="1">
      <c r="A38" s="464"/>
      <c r="B38" s="465"/>
      <c r="C38" s="465"/>
      <c r="D38" s="466"/>
      <c r="E38" s="467"/>
      <c r="F38" s="467"/>
      <c r="G38" s="467"/>
      <c r="H38" s="467"/>
      <c r="I38" s="467"/>
      <c r="J38" s="467"/>
      <c r="K38" s="467"/>
      <c r="L38" s="467"/>
      <c r="M38" s="468"/>
      <c r="N38" s="469"/>
      <c r="O38" s="469"/>
      <c r="P38" s="469"/>
      <c r="Q38" s="469"/>
      <c r="R38" s="469"/>
      <c r="S38" s="469"/>
      <c r="T38" s="470"/>
      <c r="U38" s="470"/>
      <c r="V38" s="470"/>
      <c r="W38" s="470"/>
      <c r="X38" s="471"/>
      <c r="Y38" s="471"/>
      <c r="Z38" s="471"/>
      <c r="AA38" s="472"/>
    </row>
    <row r="39" spans="1:27" ht="24" customHeight="1">
      <c r="A39" s="464"/>
      <c r="B39" s="465"/>
      <c r="C39" s="465"/>
      <c r="D39" s="466"/>
      <c r="E39" s="467"/>
      <c r="F39" s="467"/>
      <c r="G39" s="467"/>
      <c r="H39" s="467"/>
      <c r="I39" s="467"/>
      <c r="J39" s="467"/>
      <c r="K39" s="467"/>
      <c r="L39" s="467"/>
      <c r="M39" s="468"/>
      <c r="N39" s="469"/>
      <c r="O39" s="469"/>
      <c r="P39" s="469"/>
      <c r="Q39" s="469"/>
      <c r="R39" s="469"/>
      <c r="S39" s="469"/>
      <c r="T39" s="470"/>
      <c r="U39" s="470"/>
      <c r="V39" s="470"/>
      <c r="W39" s="470"/>
      <c r="X39" s="471"/>
      <c r="Y39" s="471"/>
      <c r="Z39" s="471"/>
      <c r="AA39" s="472"/>
    </row>
    <row r="40" spans="1:27" ht="24" customHeight="1">
      <c r="A40" s="464"/>
      <c r="B40" s="465"/>
      <c r="C40" s="465"/>
      <c r="D40" s="466"/>
      <c r="E40" s="467"/>
      <c r="F40" s="467"/>
      <c r="G40" s="467"/>
      <c r="H40" s="467"/>
      <c r="I40" s="467"/>
      <c r="J40" s="467"/>
      <c r="K40" s="467"/>
      <c r="L40" s="467"/>
      <c r="M40" s="468"/>
      <c r="N40" s="469"/>
      <c r="O40" s="469"/>
      <c r="P40" s="469"/>
      <c r="Q40" s="469"/>
      <c r="R40" s="469"/>
      <c r="S40" s="469"/>
      <c r="T40" s="470"/>
      <c r="U40" s="470"/>
      <c r="V40" s="470"/>
      <c r="W40" s="470"/>
      <c r="X40" s="471"/>
      <c r="Y40" s="471"/>
      <c r="Z40" s="471"/>
      <c r="AA40" s="472"/>
    </row>
    <row r="41" spans="1:27" ht="24" customHeight="1">
      <c r="A41" s="464"/>
      <c r="B41" s="465"/>
      <c r="C41" s="465"/>
      <c r="D41" s="466"/>
      <c r="E41" s="467"/>
      <c r="F41" s="467"/>
      <c r="G41" s="467"/>
      <c r="H41" s="467"/>
      <c r="I41" s="467"/>
      <c r="J41" s="467"/>
      <c r="K41" s="467"/>
      <c r="L41" s="467"/>
      <c r="M41" s="468"/>
      <c r="N41" s="469"/>
      <c r="O41" s="469"/>
      <c r="P41" s="469"/>
      <c r="Q41" s="469"/>
      <c r="R41" s="469"/>
      <c r="S41" s="469"/>
      <c r="T41" s="470"/>
      <c r="U41" s="470"/>
      <c r="V41" s="470"/>
      <c r="W41" s="470"/>
      <c r="X41" s="471"/>
      <c r="Y41" s="471"/>
      <c r="Z41" s="471"/>
      <c r="AA41" s="472"/>
    </row>
    <row r="42" spans="1:27" ht="24" customHeight="1">
      <c r="A42" s="464"/>
      <c r="B42" s="465"/>
      <c r="C42" s="465"/>
      <c r="D42" s="466"/>
      <c r="E42" s="467"/>
      <c r="F42" s="467"/>
      <c r="G42" s="467"/>
      <c r="H42" s="467"/>
      <c r="I42" s="467"/>
      <c r="J42" s="467"/>
      <c r="K42" s="467"/>
      <c r="L42" s="467"/>
      <c r="M42" s="468"/>
      <c r="N42" s="469"/>
      <c r="O42" s="469"/>
      <c r="P42" s="469"/>
      <c r="Q42" s="469"/>
      <c r="R42" s="469"/>
      <c r="S42" s="469"/>
      <c r="T42" s="470"/>
      <c r="U42" s="470"/>
      <c r="V42" s="470"/>
      <c r="W42" s="470"/>
      <c r="X42" s="471"/>
      <c r="Y42" s="471"/>
      <c r="Z42" s="471"/>
      <c r="AA42" s="472"/>
    </row>
    <row r="43" spans="1:27" ht="24" customHeight="1">
      <c r="A43" s="464"/>
      <c r="B43" s="465"/>
      <c r="C43" s="465"/>
      <c r="D43" s="466"/>
      <c r="E43" s="467"/>
      <c r="F43" s="467"/>
      <c r="G43" s="467"/>
      <c r="H43" s="467"/>
      <c r="I43" s="467"/>
      <c r="J43" s="467"/>
      <c r="K43" s="467"/>
      <c r="L43" s="467"/>
      <c r="M43" s="468"/>
      <c r="N43" s="469"/>
      <c r="O43" s="469"/>
      <c r="P43" s="469"/>
      <c r="Q43" s="469"/>
      <c r="R43" s="469"/>
      <c r="S43" s="469"/>
      <c r="T43" s="470"/>
      <c r="U43" s="470"/>
      <c r="V43" s="470"/>
      <c r="W43" s="470"/>
      <c r="X43" s="471"/>
      <c r="Y43" s="471"/>
      <c r="Z43" s="471"/>
      <c r="AA43" s="472"/>
    </row>
    <row r="44" spans="1:27" ht="24" customHeight="1">
      <c r="A44" s="464"/>
      <c r="B44" s="465"/>
      <c r="C44" s="465"/>
      <c r="D44" s="466"/>
      <c r="E44" s="467"/>
      <c r="F44" s="467"/>
      <c r="G44" s="467"/>
      <c r="H44" s="467"/>
      <c r="I44" s="467"/>
      <c r="J44" s="467"/>
      <c r="K44" s="467"/>
      <c r="L44" s="467"/>
      <c r="M44" s="468"/>
      <c r="N44" s="469"/>
      <c r="O44" s="469"/>
      <c r="P44" s="469"/>
      <c r="Q44" s="469"/>
      <c r="R44" s="469"/>
      <c r="S44" s="469"/>
      <c r="T44" s="470"/>
      <c r="U44" s="470"/>
      <c r="V44" s="470"/>
      <c r="W44" s="470"/>
      <c r="X44" s="471"/>
      <c r="Y44" s="471"/>
      <c r="Z44" s="471"/>
      <c r="AA44" s="472"/>
    </row>
    <row r="45" spans="1:27" ht="24" customHeight="1">
      <c r="A45" s="464"/>
      <c r="B45" s="465"/>
      <c r="C45" s="465"/>
      <c r="D45" s="466"/>
      <c r="E45" s="467"/>
      <c r="F45" s="467"/>
      <c r="G45" s="467"/>
      <c r="H45" s="467"/>
      <c r="I45" s="467"/>
      <c r="J45" s="467"/>
      <c r="K45" s="467"/>
      <c r="L45" s="467"/>
      <c r="M45" s="468"/>
      <c r="N45" s="469"/>
      <c r="O45" s="469"/>
      <c r="P45" s="469"/>
      <c r="Q45" s="469"/>
      <c r="R45" s="469"/>
      <c r="S45" s="469"/>
      <c r="T45" s="470"/>
      <c r="U45" s="470"/>
      <c r="V45" s="470"/>
      <c r="W45" s="470"/>
      <c r="X45" s="471"/>
      <c r="Y45" s="471"/>
      <c r="Z45" s="471"/>
      <c r="AA45" s="472"/>
    </row>
    <row r="46" spans="1:27" ht="24" customHeight="1">
      <c r="A46" s="464"/>
      <c r="B46" s="465"/>
      <c r="C46" s="465"/>
      <c r="D46" s="466"/>
      <c r="E46" s="467"/>
      <c r="F46" s="467"/>
      <c r="G46" s="467"/>
      <c r="H46" s="467"/>
      <c r="I46" s="467"/>
      <c r="J46" s="467"/>
      <c r="K46" s="467"/>
      <c r="L46" s="467"/>
      <c r="M46" s="468"/>
      <c r="N46" s="469"/>
      <c r="O46" s="469"/>
      <c r="P46" s="469"/>
      <c r="Q46" s="469"/>
      <c r="R46" s="469"/>
      <c r="S46" s="469"/>
      <c r="T46" s="470"/>
      <c r="U46" s="470"/>
      <c r="V46" s="470"/>
      <c r="W46" s="470"/>
      <c r="X46" s="471"/>
      <c r="Y46" s="471"/>
      <c r="Z46" s="471"/>
      <c r="AA46" s="472"/>
    </row>
    <row r="47" spans="1:27" ht="24" customHeight="1">
      <c r="A47" s="464"/>
      <c r="B47" s="465"/>
      <c r="C47" s="465"/>
      <c r="D47" s="466"/>
      <c r="E47" s="467"/>
      <c r="F47" s="467"/>
      <c r="G47" s="467"/>
      <c r="H47" s="467"/>
      <c r="I47" s="467"/>
      <c r="J47" s="467"/>
      <c r="K47" s="467"/>
      <c r="L47" s="467"/>
      <c r="M47" s="468"/>
      <c r="N47" s="469"/>
      <c r="O47" s="469"/>
      <c r="P47" s="469"/>
      <c r="Q47" s="469"/>
      <c r="R47" s="469"/>
      <c r="S47" s="469"/>
      <c r="T47" s="470"/>
      <c r="U47" s="470"/>
      <c r="V47" s="470"/>
      <c r="W47" s="470"/>
      <c r="X47" s="471"/>
      <c r="Y47" s="471"/>
      <c r="Z47" s="471"/>
      <c r="AA47" s="472"/>
    </row>
    <row r="48" spans="1:27" ht="24" customHeight="1">
      <c r="A48" s="464"/>
      <c r="B48" s="465"/>
      <c r="C48" s="465"/>
      <c r="D48" s="466"/>
      <c r="E48" s="467"/>
      <c r="F48" s="467"/>
      <c r="G48" s="467"/>
      <c r="H48" s="467"/>
      <c r="I48" s="467"/>
      <c r="J48" s="467"/>
      <c r="K48" s="467"/>
      <c r="L48" s="467"/>
      <c r="M48" s="468"/>
      <c r="N48" s="469"/>
      <c r="O48" s="469"/>
      <c r="P48" s="469"/>
      <c r="Q48" s="469"/>
      <c r="R48" s="469"/>
      <c r="S48" s="469"/>
      <c r="T48" s="470"/>
      <c r="U48" s="470"/>
      <c r="V48" s="470"/>
      <c r="W48" s="470"/>
      <c r="X48" s="471"/>
      <c r="Y48" s="471"/>
      <c r="Z48" s="471"/>
      <c r="AA48" s="472"/>
    </row>
    <row r="49" spans="1:27" ht="24" customHeight="1">
      <c r="A49" s="464"/>
      <c r="B49" s="465"/>
      <c r="C49" s="465"/>
      <c r="D49" s="466"/>
      <c r="E49" s="467"/>
      <c r="F49" s="467"/>
      <c r="G49" s="467"/>
      <c r="H49" s="467"/>
      <c r="I49" s="467"/>
      <c r="J49" s="467"/>
      <c r="K49" s="467"/>
      <c r="L49" s="467"/>
      <c r="M49" s="468"/>
      <c r="N49" s="469"/>
      <c r="O49" s="469"/>
      <c r="P49" s="469"/>
      <c r="Q49" s="469"/>
      <c r="R49" s="469"/>
      <c r="S49" s="469"/>
      <c r="T49" s="470"/>
      <c r="U49" s="470"/>
      <c r="V49" s="470"/>
      <c r="W49" s="470"/>
      <c r="X49" s="471"/>
      <c r="Y49" s="471"/>
      <c r="Z49" s="471"/>
      <c r="AA49" s="472"/>
    </row>
    <row r="50" spans="1:27" ht="24" customHeight="1">
      <c r="A50" s="464"/>
      <c r="B50" s="465"/>
      <c r="C50" s="465"/>
      <c r="D50" s="466"/>
      <c r="E50" s="467"/>
      <c r="F50" s="467"/>
      <c r="G50" s="467"/>
      <c r="H50" s="467"/>
      <c r="I50" s="467"/>
      <c r="J50" s="467"/>
      <c r="K50" s="467"/>
      <c r="L50" s="467"/>
      <c r="M50" s="468"/>
      <c r="N50" s="469"/>
      <c r="O50" s="469"/>
      <c r="P50" s="469"/>
      <c r="Q50" s="469"/>
      <c r="R50" s="469"/>
      <c r="S50" s="469"/>
      <c r="T50" s="470"/>
      <c r="U50" s="470"/>
      <c r="V50" s="470"/>
      <c r="W50" s="470"/>
      <c r="X50" s="471"/>
      <c r="Y50" s="471"/>
      <c r="Z50" s="471"/>
      <c r="AA50" s="472"/>
    </row>
    <row r="51" spans="1:27" ht="24" customHeight="1">
      <c r="A51" s="464"/>
      <c r="B51" s="465"/>
      <c r="C51" s="465"/>
      <c r="D51" s="466"/>
      <c r="E51" s="467"/>
      <c r="F51" s="467"/>
      <c r="G51" s="467"/>
      <c r="H51" s="467"/>
      <c r="I51" s="467"/>
      <c r="J51" s="467"/>
      <c r="K51" s="467"/>
      <c r="L51" s="467"/>
      <c r="M51" s="468"/>
      <c r="N51" s="469"/>
      <c r="O51" s="469"/>
      <c r="P51" s="469"/>
      <c r="Q51" s="469"/>
      <c r="R51" s="469"/>
      <c r="S51" s="469"/>
      <c r="T51" s="470"/>
      <c r="U51" s="470"/>
      <c r="V51" s="470"/>
      <c r="W51" s="470"/>
      <c r="X51" s="471"/>
      <c r="Y51" s="471"/>
      <c r="Z51" s="471"/>
      <c r="AA51" s="472"/>
    </row>
    <row r="52" spans="1:27" ht="24" customHeight="1">
      <c r="A52" s="464"/>
      <c r="B52" s="465"/>
      <c r="C52" s="465"/>
      <c r="D52" s="466"/>
      <c r="E52" s="467"/>
      <c r="F52" s="467"/>
      <c r="G52" s="467"/>
      <c r="H52" s="467"/>
      <c r="I52" s="467"/>
      <c r="J52" s="467"/>
      <c r="K52" s="467"/>
      <c r="L52" s="467"/>
      <c r="M52" s="468"/>
      <c r="N52" s="469"/>
      <c r="O52" s="469"/>
      <c r="P52" s="469"/>
      <c r="Q52" s="469"/>
      <c r="R52" s="469"/>
      <c r="S52" s="469"/>
      <c r="T52" s="470"/>
      <c r="U52" s="470"/>
      <c r="V52" s="470"/>
      <c r="W52" s="470"/>
      <c r="X52" s="471"/>
      <c r="Y52" s="471"/>
      <c r="Z52" s="471"/>
      <c r="AA52" s="472"/>
    </row>
    <row r="53" spans="1:27" ht="24" customHeight="1">
      <c r="A53" s="464"/>
      <c r="B53" s="465"/>
      <c r="C53" s="465"/>
      <c r="D53" s="466"/>
      <c r="E53" s="467"/>
      <c r="F53" s="467"/>
      <c r="G53" s="467"/>
      <c r="H53" s="467"/>
      <c r="I53" s="467"/>
      <c r="J53" s="467"/>
      <c r="K53" s="467"/>
      <c r="L53" s="467"/>
      <c r="M53" s="468"/>
      <c r="N53" s="469"/>
      <c r="O53" s="469"/>
      <c r="P53" s="469"/>
      <c r="Q53" s="469"/>
      <c r="R53" s="469"/>
      <c r="S53" s="469"/>
      <c r="T53" s="470"/>
      <c r="U53" s="470"/>
      <c r="V53" s="470"/>
      <c r="W53" s="470"/>
      <c r="X53" s="471"/>
      <c r="Y53" s="471"/>
      <c r="Z53" s="471"/>
      <c r="AA53" s="472"/>
    </row>
    <row r="54" spans="1:27" ht="24" customHeight="1">
      <c r="A54" s="464"/>
      <c r="B54" s="465"/>
      <c r="C54" s="465"/>
      <c r="D54" s="466"/>
      <c r="E54" s="467"/>
      <c r="F54" s="467"/>
      <c r="G54" s="467"/>
      <c r="H54" s="467"/>
      <c r="I54" s="467"/>
      <c r="J54" s="467"/>
      <c r="K54" s="467"/>
      <c r="L54" s="467"/>
      <c r="M54" s="468"/>
      <c r="N54" s="469"/>
      <c r="O54" s="469"/>
      <c r="P54" s="469"/>
      <c r="Q54" s="469"/>
      <c r="R54" s="469"/>
      <c r="S54" s="469"/>
      <c r="T54" s="470"/>
      <c r="U54" s="470"/>
      <c r="V54" s="470"/>
      <c r="W54" s="470"/>
      <c r="X54" s="471"/>
      <c r="Y54" s="471"/>
      <c r="Z54" s="471"/>
      <c r="AA54" s="472"/>
    </row>
    <row r="55" spans="1:27" ht="24" customHeight="1">
      <c r="A55" s="464"/>
      <c r="B55" s="465"/>
      <c r="C55" s="465"/>
      <c r="D55" s="466"/>
      <c r="E55" s="467"/>
      <c r="F55" s="467"/>
      <c r="G55" s="467"/>
      <c r="H55" s="467"/>
      <c r="I55" s="467"/>
      <c r="J55" s="467"/>
      <c r="K55" s="467"/>
      <c r="L55" s="467"/>
      <c r="M55" s="468"/>
      <c r="N55" s="469"/>
      <c r="O55" s="469"/>
      <c r="P55" s="469"/>
      <c r="Q55" s="469"/>
      <c r="R55" s="469"/>
      <c r="S55" s="469"/>
      <c r="T55" s="470"/>
      <c r="U55" s="470"/>
      <c r="V55" s="470"/>
      <c r="W55" s="470"/>
      <c r="X55" s="471"/>
      <c r="Y55" s="471"/>
      <c r="Z55" s="471"/>
      <c r="AA55" s="472"/>
    </row>
    <row r="56" spans="1:27" ht="24" customHeight="1">
      <c r="A56" s="464"/>
      <c r="B56" s="465"/>
      <c r="C56" s="465"/>
      <c r="D56" s="466"/>
      <c r="E56" s="467"/>
      <c r="F56" s="467"/>
      <c r="G56" s="467"/>
      <c r="H56" s="467"/>
      <c r="I56" s="467"/>
      <c r="J56" s="467"/>
      <c r="K56" s="467"/>
      <c r="L56" s="467"/>
      <c r="M56" s="468"/>
      <c r="N56" s="469"/>
      <c r="O56" s="469"/>
      <c r="P56" s="469"/>
      <c r="Q56" s="469"/>
      <c r="R56" s="469"/>
      <c r="S56" s="469"/>
      <c r="T56" s="470"/>
      <c r="U56" s="470"/>
      <c r="V56" s="470"/>
      <c r="W56" s="470"/>
      <c r="X56" s="471"/>
      <c r="Y56" s="471"/>
      <c r="Z56" s="471"/>
      <c r="AA56" s="472"/>
    </row>
    <row r="57" spans="1:27" ht="24" customHeight="1">
      <c r="A57" s="464"/>
      <c r="B57" s="465"/>
      <c r="C57" s="465"/>
      <c r="D57" s="466"/>
      <c r="E57" s="467"/>
      <c r="F57" s="467"/>
      <c r="G57" s="467"/>
      <c r="H57" s="467"/>
      <c r="I57" s="467"/>
      <c r="J57" s="467"/>
      <c r="K57" s="467"/>
      <c r="L57" s="467"/>
      <c r="M57" s="468"/>
      <c r="N57" s="469"/>
      <c r="O57" s="469"/>
      <c r="P57" s="469"/>
      <c r="Q57" s="469"/>
      <c r="R57" s="469"/>
      <c r="S57" s="469"/>
      <c r="T57" s="470"/>
      <c r="U57" s="470"/>
      <c r="V57" s="470"/>
      <c r="W57" s="470"/>
      <c r="X57" s="471"/>
      <c r="Y57" s="471"/>
      <c r="Z57" s="471"/>
      <c r="AA57" s="472"/>
    </row>
    <row r="58" spans="1:27" ht="24" customHeight="1">
      <c r="A58" s="464"/>
      <c r="B58" s="465"/>
      <c r="C58" s="465"/>
      <c r="D58" s="466"/>
      <c r="E58" s="467"/>
      <c r="F58" s="467"/>
      <c r="G58" s="467"/>
      <c r="H58" s="467"/>
      <c r="I58" s="467"/>
      <c r="J58" s="467"/>
      <c r="K58" s="467"/>
      <c r="L58" s="467"/>
      <c r="M58" s="468"/>
      <c r="N58" s="469"/>
      <c r="O58" s="469"/>
      <c r="P58" s="469"/>
      <c r="Q58" s="469"/>
      <c r="R58" s="469"/>
      <c r="S58" s="469"/>
      <c r="T58" s="470"/>
      <c r="U58" s="470"/>
      <c r="V58" s="470"/>
      <c r="W58" s="470"/>
      <c r="X58" s="471"/>
      <c r="Y58" s="471"/>
      <c r="Z58" s="471"/>
      <c r="AA58" s="472"/>
    </row>
    <row r="59" spans="1:27" ht="24" customHeight="1">
      <c r="A59" s="464"/>
      <c r="B59" s="465"/>
      <c r="C59" s="465"/>
      <c r="D59" s="466"/>
      <c r="E59" s="467"/>
      <c r="F59" s="467"/>
      <c r="G59" s="467"/>
      <c r="H59" s="467"/>
      <c r="I59" s="467"/>
      <c r="J59" s="467"/>
      <c r="K59" s="467"/>
      <c r="L59" s="467"/>
      <c r="M59" s="468"/>
      <c r="N59" s="469"/>
      <c r="O59" s="469"/>
      <c r="P59" s="469"/>
      <c r="Q59" s="469"/>
      <c r="R59" s="469"/>
      <c r="S59" s="469"/>
      <c r="T59" s="470"/>
      <c r="U59" s="470"/>
      <c r="V59" s="470"/>
      <c r="W59" s="470"/>
      <c r="X59" s="471"/>
      <c r="Y59" s="471"/>
      <c r="Z59" s="471"/>
      <c r="AA59" s="472"/>
    </row>
    <row r="60" spans="1:27" ht="24" customHeight="1">
      <c r="A60" s="464"/>
      <c r="B60" s="465"/>
      <c r="C60" s="465"/>
      <c r="D60" s="466"/>
      <c r="E60" s="467"/>
      <c r="F60" s="467"/>
      <c r="G60" s="467"/>
      <c r="H60" s="467"/>
      <c r="I60" s="467"/>
      <c r="J60" s="467"/>
      <c r="K60" s="467"/>
      <c r="L60" s="467"/>
      <c r="M60" s="468"/>
      <c r="N60" s="469"/>
      <c r="O60" s="469"/>
      <c r="P60" s="469"/>
      <c r="Q60" s="469"/>
      <c r="R60" s="469"/>
      <c r="S60" s="469"/>
      <c r="T60" s="470"/>
      <c r="U60" s="470"/>
      <c r="V60" s="470"/>
      <c r="W60" s="470"/>
      <c r="X60" s="471"/>
      <c r="Y60" s="471"/>
      <c r="Z60" s="471"/>
      <c r="AA60" s="472"/>
    </row>
    <row r="61" spans="1:27" ht="24" customHeight="1">
      <c r="A61" s="546"/>
      <c r="B61" s="547"/>
      <c r="C61" s="547"/>
      <c r="D61" s="547"/>
      <c r="E61" s="547"/>
      <c r="F61" s="547"/>
      <c r="G61" s="547"/>
      <c r="H61" s="547"/>
      <c r="I61" s="547"/>
      <c r="J61" s="547"/>
      <c r="K61" s="547"/>
      <c r="L61" s="547"/>
      <c r="M61" s="547"/>
      <c r="N61" s="547"/>
      <c r="O61" s="547"/>
      <c r="P61" s="547"/>
      <c r="Q61" s="547"/>
      <c r="R61" s="547"/>
      <c r="S61" s="547"/>
      <c r="T61" s="547"/>
      <c r="U61" s="547"/>
      <c r="V61" s="547"/>
      <c r="W61" s="547"/>
      <c r="X61" s="547"/>
      <c r="Y61" s="547"/>
      <c r="Z61" s="547"/>
      <c r="AA61" s="548"/>
    </row>
    <row r="62" spans="1:27" ht="24" customHeight="1">
      <c r="A62" s="549"/>
      <c r="B62" s="550"/>
      <c r="C62" s="550"/>
      <c r="D62" s="550"/>
      <c r="E62" s="550"/>
      <c r="F62" s="550"/>
      <c r="G62" s="550"/>
      <c r="H62" s="550"/>
      <c r="I62" s="550"/>
      <c r="J62" s="550"/>
      <c r="K62" s="550"/>
      <c r="L62" s="550"/>
      <c r="M62" s="550"/>
      <c r="N62" s="550"/>
      <c r="O62" s="550"/>
      <c r="P62" s="550"/>
      <c r="Q62" s="550"/>
      <c r="R62" s="550"/>
      <c r="S62" s="550"/>
      <c r="T62" s="550"/>
      <c r="U62" s="550"/>
      <c r="V62" s="550"/>
      <c r="W62" s="550"/>
      <c r="X62" s="550"/>
      <c r="Y62" s="550"/>
      <c r="Z62" s="550"/>
      <c r="AA62" s="551"/>
    </row>
    <row r="63" spans="1:27" ht="24" customHeight="1">
      <c r="A63" s="464"/>
      <c r="B63" s="465"/>
      <c r="C63" s="465"/>
      <c r="D63" s="466"/>
      <c r="E63" s="467"/>
      <c r="F63" s="467"/>
      <c r="G63" s="467"/>
      <c r="H63" s="467"/>
      <c r="I63" s="467"/>
      <c r="J63" s="467"/>
      <c r="K63" s="467"/>
      <c r="L63" s="467"/>
      <c r="M63" s="468"/>
      <c r="N63" s="469"/>
      <c r="O63" s="469"/>
      <c r="P63" s="469"/>
      <c r="Q63" s="469"/>
      <c r="R63" s="469"/>
      <c r="S63" s="469"/>
      <c r="T63" s="470"/>
      <c r="U63" s="470"/>
      <c r="V63" s="470"/>
      <c r="W63" s="470"/>
      <c r="X63" s="471"/>
      <c r="Y63" s="471"/>
      <c r="Z63" s="471"/>
      <c r="AA63" s="472"/>
    </row>
    <row r="64" spans="1:27" ht="24" customHeight="1">
      <c r="A64" s="464"/>
      <c r="B64" s="465"/>
      <c r="C64" s="465"/>
      <c r="D64" s="466"/>
      <c r="E64" s="467"/>
      <c r="F64" s="467"/>
      <c r="G64" s="467"/>
      <c r="H64" s="467"/>
      <c r="I64" s="467"/>
      <c r="J64" s="467"/>
      <c r="K64" s="467"/>
      <c r="L64" s="467"/>
      <c r="M64" s="468"/>
      <c r="N64" s="469"/>
      <c r="O64" s="469"/>
      <c r="P64" s="469"/>
      <c r="Q64" s="469"/>
      <c r="R64" s="469"/>
      <c r="S64" s="469"/>
      <c r="T64" s="470"/>
      <c r="U64" s="470"/>
      <c r="V64" s="470"/>
      <c r="W64" s="470"/>
      <c r="X64" s="471"/>
      <c r="Y64" s="471"/>
      <c r="Z64" s="471"/>
      <c r="AA64" s="472"/>
    </row>
    <row r="65" spans="1:27" ht="24" customHeight="1">
      <c r="A65" s="464"/>
      <c r="B65" s="465"/>
      <c r="C65" s="465"/>
      <c r="D65" s="466"/>
      <c r="E65" s="467"/>
      <c r="F65" s="467"/>
      <c r="G65" s="467"/>
      <c r="H65" s="467"/>
      <c r="I65" s="467"/>
      <c r="J65" s="467"/>
      <c r="K65" s="467"/>
      <c r="L65" s="467"/>
      <c r="M65" s="468"/>
      <c r="N65" s="469"/>
      <c r="O65" s="469"/>
      <c r="P65" s="469"/>
      <c r="Q65" s="469"/>
      <c r="R65" s="469"/>
      <c r="S65" s="469"/>
      <c r="T65" s="470"/>
      <c r="U65" s="470"/>
      <c r="V65" s="470"/>
      <c r="W65" s="470"/>
      <c r="X65" s="471"/>
      <c r="Y65" s="471"/>
      <c r="Z65" s="471"/>
      <c r="AA65" s="472"/>
    </row>
    <row r="66" spans="1:27" ht="24" customHeight="1">
      <c r="A66" s="464"/>
      <c r="B66" s="465"/>
      <c r="C66" s="465"/>
      <c r="D66" s="466"/>
      <c r="E66" s="467"/>
      <c r="F66" s="467"/>
      <c r="G66" s="467"/>
      <c r="H66" s="467"/>
      <c r="I66" s="467"/>
      <c r="J66" s="467"/>
      <c r="K66" s="467"/>
      <c r="L66" s="467"/>
      <c r="M66" s="468"/>
      <c r="N66" s="469"/>
      <c r="O66" s="469"/>
      <c r="P66" s="469"/>
      <c r="Q66" s="469"/>
      <c r="R66" s="469"/>
      <c r="S66" s="469"/>
      <c r="T66" s="470"/>
      <c r="U66" s="470"/>
      <c r="V66" s="470"/>
      <c r="W66" s="470"/>
      <c r="X66" s="471"/>
      <c r="Y66" s="471"/>
      <c r="Z66" s="471"/>
      <c r="AA66" s="472"/>
    </row>
    <row r="67" spans="1:27" ht="24" customHeight="1">
      <c r="A67" s="464"/>
      <c r="B67" s="465"/>
      <c r="C67" s="465"/>
      <c r="D67" s="466"/>
      <c r="E67" s="467"/>
      <c r="F67" s="467"/>
      <c r="G67" s="467"/>
      <c r="H67" s="467"/>
      <c r="I67" s="467"/>
      <c r="J67" s="467"/>
      <c r="K67" s="467"/>
      <c r="L67" s="467"/>
      <c r="M67" s="468"/>
      <c r="N67" s="469"/>
      <c r="O67" s="469"/>
      <c r="P67" s="469"/>
      <c r="Q67" s="469"/>
      <c r="R67" s="469"/>
      <c r="S67" s="469"/>
      <c r="T67" s="470"/>
      <c r="U67" s="470"/>
      <c r="V67" s="470"/>
      <c r="W67" s="470"/>
      <c r="X67" s="471"/>
      <c r="Y67" s="471"/>
      <c r="Z67" s="471"/>
      <c r="AA67" s="472"/>
    </row>
    <row r="68" spans="1:27" ht="24" customHeight="1">
      <c r="A68" s="464"/>
      <c r="B68" s="465"/>
      <c r="C68" s="465"/>
      <c r="D68" s="466"/>
      <c r="E68" s="467"/>
      <c r="F68" s="467"/>
      <c r="G68" s="467"/>
      <c r="H68" s="467"/>
      <c r="I68" s="467"/>
      <c r="J68" s="467"/>
      <c r="K68" s="467"/>
      <c r="L68" s="467"/>
      <c r="M68" s="468"/>
      <c r="N68" s="469"/>
      <c r="O68" s="469"/>
      <c r="P68" s="469"/>
      <c r="Q68" s="469"/>
      <c r="R68" s="469"/>
      <c r="S68" s="469"/>
      <c r="T68" s="470"/>
      <c r="U68" s="470"/>
      <c r="V68" s="470"/>
      <c r="W68" s="470"/>
      <c r="X68" s="471"/>
      <c r="Y68" s="471"/>
      <c r="Z68" s="471"/>
      <c r="AA68" s="472"/>
    </row>
    <row r="69" spans="1:27" ht="24" customHeight="1">
      <c r="A69" s="464"/>
      <c r="B69" s="465"/>
      <c r="C69" s="465"/>
      <c r="D69" s="466"/>
      <c r="E69" s="467"/>
      <c r="F69" s="467"/>
      <c r="G69" s="467"/>
      <c r="H69" s="467"/>
      <c r="I69" s="467"/>
      <c r="J69" s="467"/>
      <c r="K69" s="467"/>
      <c r="L69" s="467"/>
      <c r="M69" s="468"/>
      <c r="N69" s="469"/>
      <c r="O69" s="469"/>
      <c r="P69" s="469"/>
      <c r="Q69" s="469"/>
      <c r="R69" s="469"/>
      <c r="S69" s="469"/>
      <c r="T69" s="470"/>
      <c r="U69" s="470"/>
      <c r="V69" s="470"/>
      <c r="W69" s="470"/>
      <c r="X69" s="471"/>
      <c r="Y69" s="471"/>
      <c r="Z69" s="471"/>
      <c r="AA69" s="472"/>
    </row>
    <row r="70" spans="1:27" ht="24" customHeight="1">
      <c r="A70" s="464"/>
      <c r="B70" s="465"/>
      <c r="C70" s="465"/>
      <c r="D70" s="466"/>
      <c r="E70" s="467"/>
      <c r="F70" s="467"/>
      <c r="G70" s="467"/>
      <c r="H70" s="467"/>
      <c r="I70" s="467"/>
      <c r="J70" s="467"/>
      <c r="K70" s="467"/>
      <c r="L70" s="467"/>
      <c r="M70" s="468"/>
      <c r="N70" s="469"/>
      <c r="O70" s="469"/>
      <c r="P70" s="469"/>
      <c r="Q70" s="469"/>
      <c r="R70" s="469"/>
      <c r="S70" s="469"/>
      <c r="T70" s="470"/>
      <c r="U70" s="470"/>
      <c r="V70" s="470"/>
      <c r="W70" s="470"/>
      <c r="X70" s="471"/>
      <c r="Y70" s="471"/>
      <c r="Z70" s="471"/>
      <c r="AA70" s="472"/>
    </row>
    <row r="71" spans="1:27" ht="24" customHeight="1">
      <c r="A71" s="464"/>
      <c r="B71" s="465"/>
      <c r="C71" s="465"/>
      <c r="D71" s="466"/>
      <c r="E71" s="467"/>
      <c r="F71" s="467"/>
      <c r="G71" s="467"/>
      <c r="H71" s="467"/>
      <c r="I71" s="467"/>
      <c r="J71" s="467"/>
      <c r="K71" s="467"/>
      <c r="L71" s="467"/>
      <c r="M71" s="468"/>
      <c r="N71" s="469"/>
      <c r="O71" s="469"/>
      <c r="P71" s="469"/>
      <c r="Q71" s="469"/>
      <c r="R71" s="469"/>
      <c r="S71" s="469"/>
      <c r="T71" s="470"/>
      <c r="U71" s="470"/>
      <c r="V71" s="470"/>
      <c r="W71" s="470"/>
      <c r="X71" s="471"/>
      <c r="Y71" s="471"/>
      <c r="Z71" s="471"/>
      <c r="AA71" s="472"/>
    </row>
    <row r="72" spans="1:27" ht="24" customHeight="1">
      <c r="A72" s="464"/>
      <c r="B72" s="465"/>
      <c r="C72" s="465"/>
      <c r="D72" s="466"/>
      <c r="E72" s="467"/>
      <c r="F72" s="467"/>
      <c r="G72" s="467"/>
      <c r="H72" s="467"/>
      <c r="I72" s="467"/>
      <c r="J72" s="467"/>
      <c r="K72" s="467"/>
      <c r="L72" s="467"/>
      <c r="M72" s="468"/>
      <c r="N72" s="469"/>
      <c r="O72" s="469"/>
      <c r="P72" s="469"/>
      <c r="Q72" s="469"/>
      <c r="R72" s="469"/>
      <c r="S72" s="469"/>
      <c r="T72" s="470"/>
      <c r="U72" s="470"/>
      <c r="V72" s="470"/>
      <c r="W72" s="470"/>
      <c r="X72" s="471"/>
      <c r="Y72" s="471"/>
      <c r="Z72" s="471"/>
      <c r="AA72" s="472"/>
    </row>
    <row r="73" spans="1:27" ht="24" customHeight="1">
      <c r="A73" s="464"/>
      <c r="B73" s="465"/>
      <c r="C73" s="465"/>
      <c r="D73" s="466"/>
      <c r="E73" s="467"/>
      <c r="F73" s="467"/>
      <c r="G73" s="467"/>
      <c r="H73" s="467"/>
      <c r="I73" s="467"/>
      <c r="J73" s="467"/>
      <c r="K73" s="467"/>
      <c r="L73" s="467"/>
      <c r="M73" s="468"/>
      <c r="N73" s="469"/>
      <c r="O73" s="469"/>
      <c r="P73" s="469"/>
      <c r="Q73" s="469"/>
      <c r="R73" s="469"/>
      <c r="S73" s="469"/>
      <c r="T73" s="470"/>
      <c r="U73" s="470"/>
      <c r="V73" s="470"/>
      <c r="W73" s="470"/>
      <c r="X73" s="471"/>
      <c r="Y73" s="471"/>
      <c r="Z73" s="471"/>
      <c r="AA73" s="472"/>
    </row>
    <row r="74" spans="1:27" ht="24" customHeight="1">
      <c r="A74" s="464"/>
      <c r="B74" s="465"/>
      <c r="C74" s="465"/>
      <c r="D74" s="466"/>
      <c r="E74" s="467"/>
      <c r="F74" s="467"/>
      <c r="G74" s="467"/>
      <c r="H74" s="467"/>
      <c r="I74" s="467"/>
      <c r="J74" s="467"/>
      <c r="K74" s="467"/>
      <c r="L74" s="467"/>
      <c r="M74" s="468"/>
      <c r="N74" s="469"/>
      <c r="O74" s="469"/>
      <c r="P74" s="469"/>
      <c r="Q74" s="469"/>
      <c r="R74" s="469"/>
      <c r="S74" s="469"/>
      <c r="T74" s="470"/>
      <c r="U74" s="470"/>
      <c r="V74" s="470"/>
      <c r="W74" s="470"/>
      <c r="X74" s="471"/>
      <c r="Y74" s="471"/>
      <c r="Z74" s="471"/>
      <c r="AA74" s="472"/>
    </row>
    <row r="75" spans="1:27" ht="24" customHeight="1">
      <c r="A75" s="464"/>
      <c r="B75" s="465"/>
      <c r="C75" s="465"/>
      <c r="D75" s="466"/>
      <c r="E75" s="467"/>
      <c r="F75" s="467"/>
      <c r="G75" s="467"/>
      <c r="H75" s="467"/>
      <c r="I75" s="467"/>
      <c r="J75" s="467"/>
      <c r="K75" s="467"/>
      <c r="L75" s="467"/>
      <c r="M75" s="468"/>
      <c r="N75" s="469"/>
      <c r="O75" s="469"/>
      <c r="P75" s="469"/>
      <c r="Q75" s="469"/>
      <c r="R75" s="469"/>
      <c r="S75" s="469"/>
      <c r="T75" s="470"/>
      <c r="U75" s="470"/>
      <c r="V75" s="470"/>
      <c r="W75" s="470"/>
      <c r="X75" s="471"/>
      <c r="Y75" s="471"/>
      <c r="Z75" s="471"/>
      <c r="AA75" s="472"/>
    </row>
    <row r="76" spans="1:27" ht="24" customHeight="1">
      <c r="A76" s="464"/>
      <c r="B76" s="465"/>
      <c r="C76" s="465"/>
      <c r="D76" s="466"/>
      <c r="E76" s="467"/>
      <c r="F76" s="467"/>
      <c r="G76" s="467"/>
      <c r="H76" s="467"/>
      <c r="I76" s="467"/>
      <c r="J76" s="467"/>
      <c r="K76" s="467"/>
      <c r="L76" s="467"/>
      <c r="M76" s="468"/>
      <c r="N76" s="469"/>
      <c r="O76" s="469"/>
      <c r="P76" s="469"/>
      <c r="Q76" s="469"/>
      <c r="R76" s="469"/>
      <c r="S76" s="469"/>
      <c r="T76" s="470"/>
      <c r="U76" s="470"/>
      <c r="V76" s="470"/>
      <c r="W76" s="470"/>
      <c r="X76" s="471"/>
      <c r="Y76" s="471"/>
      <c r="Z76" s="471"/>
      <c r="AA76" s="472"/>
    </row>
    <row r="77" spans="1:27" ht="24" customHeight="1">
      <c r="A77" s="464"/>
      <c r="B77" s="465"/>
      <c r="C77" s="465"/>
      <c r="D77" s="466"/>
      <c r="E77" s="467"/>
      <c r="F77" s="467"/>
      <c r="G77" s="467"/>
      <c r="H77" s="467"/>
      <c r="I77" s="467"/>
      <c r="J77" s="467"/>
      <c r="K77" s="467"/>
      <c r="L77" s="467"/>
      <c r="M77" s="468"/>
      <c r="N77" s="469"/>
      <c r="O77" s="469"/>
      <c r="P77" s="469"/>
      <c r="Q77" s="469"/>
      <c r="R77" s="469"/>
      <c r="S77" s="469"/>
      <c r="T77" s="470"/>
      <c r="U77" s="470"/>
      <c r="V77" s="470"/>
      <c r="W77" s="470"/>
      <c r="X77" s="471"/>
      <c r="Y77" s="471"/>
      <c r="Z77" s="471"/>
      <c r="AA77" s="472"/>
    </row>
    <row r="78" spans="1:27" ht="24" customHeight="1">
      <c r="A78" s="464"/>
      <c r="B78" s="465"/>
      <c r="C78" s="465"/>
      <c r="D78" s="466"/>
      <c r="E78" s="467"/>
      <c r="F78" s="467"/>
      <c r="G78" s="467"/>
      <c r="H78" s="467"/>
      <c r="I78" s="467"/>
      <c r="J78" s="467"/>
      <c r="K78" s="467"/>
      <c r="L78" s="467"/>
      <c r="M78" s="468"/>
      <c r="N78" s="469"/>
      <c r="O78" s="469"/>
      <c r="P78" s="469"/>
      <c r="Q78" s="469"/>
      <c r="R78" s="469"/>
      <c r="S78" s="469"/>
      <c r="T78" s="470"/>
      <c r="U78" s="470"/>
      <c r="V78" s="470"/>
      <c r="W78" s="470"/>
      <c r="X78" s="471"/>
      <c r="Y78" s="471"/>
      <c r="Z78" s="471"/>
      <c r="AA78" s="472"/>
    </row>
    <row r="79" spans="1:27" ht="24" customHeight="1">
      <c r="A79" s="464"/>
      <c r="B79" s="465"/>
      <c r="C79" s="465"/>
      <c r="D79" s="466"/>
      <c r="E79" s="467"/>
      <c r="F79" s="467"/>
      <c r="G79" s="467"/>
      <c r="H79" s="467"/>
      <c r="I79" s="467"/>
      <c r="J79" s="467"/>
      <c r="K79" s="467"/>
      <c r="L79" s="467"/>
      <c r="M79" s="468"/>
      <c r="N79" s="469"/>
      <c r="O79" s="469"/>
      <c r="P79" s="469"/>
      <c r="Q79" s="469"/>
      <c r="R79" s="469"/>
      <c r="S79" s="469"/>
      <c r="T79" s="470"/>
      <c r="U79" s="470"/>
      <c r="V79" s="470"/>
      <c r="W79" s="470"/>
      <c r="X79" s="471"/>
      <c r="Y79" s="471"/>
      <c r="Z79" s="471"/>
      <c r="AA79" s="472"/>
    </row>
    <row r="80" spans="1:27" ht="24" customHeight="1">
      <c r="A80" s="464"/>
      <c r="B80" s="465"/>
      <c r="C80" s="465"/>
      <c r="D80" s="466"/>
      <c r="E80" s="467"/>
      <c r="F80" s="467"/>
      <c r="G80" s="467"/>
      <c r="H80" s="467"/>
      <c r="I80" s="467"/>
      <c r="J80" s="467"/>
      <c r="K80" s="467"/>
      <c r="L80" s="467"/>
      <c r="M80" s="468"/>
      <c r="N80" s="469"/>
      <c r="O80" s="469"/>
      <c r="P80" s="469"/>
      <c r="Q80" s="469"/>
      <c r="R80" s="469"/>
      <c r="S80" s="469"/>
      <c r="T80" s="470"/>
      <c r="U80" s="470"/>
      <c r="V80" s="470"/>
      <c r="W80" s="470"/>
      <c r="X80" s="471"/>
      <c r="Y80" s="471"/>
      <c r="Z80" s="471"/>
      <c r="AA80" s="472"/>
    </row>
    <row r="81" spans="1:27" ht="24" customHeight="1">
      <c r="A81" s="464"/>
      <c r="B81" s="465"/>
      <c r="C81" s="465"/>
      <c r="D81" s="466"/>
      <c r="E81" s="467"/>
      <c r="F81" s="467"/>
      <c r="G81" s="467"/>
      <c r="H81" s="467"/>
      <c r="I81" s="467"/>
      <c r="J81" s="467"/>
      <c r="K81" s="467"/>
      <c r="L81" s="467"/>
      <c r="M81" s="468"/>
      <c r="N81" s="469"/>
      <c r="O81" s="469"/>
      <c r="P81" s="469"/>
      <c r="Q81" s="469"/>
      <c r="R81" s="469"/>
      <c r="S81" s="469"/>
      <c r="T81" s="470"/>
      <c r="U81" s="470"/>
      <c r="V81" s="470"/>
      <c r="W81" s="470"/>
      <c r="X81" s="471"/>
      <c r="Y81" s="471"/>
      <c r="Z81" s="471"/>
      <c r="AA81" s="472"/>
    </row>
    <row r="82" spans="1:27" ht="24" customHeight="1">
      <c r="A82" s="464"/>
      <c r="B82" s="465"/>
      <c r="C82" s="465"/>
      <c r="D82" s="466"/>
      <c r="E82" s="467"/>
      <c r="F82" s="467"/>
      <c r="G82" s="467"/>
      <c r="H82" s="467"/>
      <c r="I82" s="467"/>
      <c r="J82" s="467"/>
      <c r="K82" s="467"/>
      <c r="L82" s="467"/>
      <c r="M82" s="468"/>
      <c r="N82" s="469"/>
      <c r="O82" s="469"/>
      <c r="P82" s="469"/>
      <c r="Q82" s="469"/>
      <c r="R82" s="469"/>
      <c r="S82" s="469"/>
      <c r="T82" s="470"/>
      <c r="U82" s="470"/>
      <c r="V82" s="470"/>
      <c r="W82" s="470"/>
      <c r="X82" s="471"/>
      <c r="Y82" s="471"/>
      <c r="Z82" s="471"/>
      <c r="AA82" s="472"/>
    </row>
    <row r="83" spans="1:27" ht="24" customHeight="1">
      <c r="A83" s="464"/>
      <c r="B83" s="465"/>
      <c r="C83" s="465"/>
      <c r="D83" s="466"/>
      <c r="E83" s="467"/>
      <c r="F83" s="467"/>
      <c r="G83" s="467"/>
      <c r="H83" s="467"/>
      <c r="I83" s="467"/>
      <c r="J83" s="467"/>
      <c r="K83" s="467"/>
      <c r="L83" s="467"/>
      <c r="M83" s="468"/>
      <c r="N83" s="469"/>
      <c r="O83" s="469"/>
      <c r="P83" s="469"/>
      <c r="Q83" s="469"/>
      <c r="R83" s="469"/>
      <c r="S83" s="469"/>
      <c r="T83" s="470"/>
      <c r="U83" s="470"/>
      <c r="V83" s="470"/>
      <c r="W83" s="470"/>
      <c r="X83" s="471"/>
      <c r="Y83" s="471"/>
      <c r="Z83" s="471"/>
      <c r="AA83" s="472"/>
    </row>
    <row r="84" spans="1:27" ht="24" customHeight="1">
      <c r="A84" s="464"/>
      <c r="B84" s="465"/>
      <c r="C84" s="465"/>
      <c r="D84" s="466"/>
      <c r="E84" s="467"/>
      <c r="F84" s="467"/>
      <c r="G84" s="467"/>
      <c r="H84" s="467"/>
      <c r="I84" s="467"/>
      <c r="J84" s="467"/>
      <c r="K84" s="467"/>
      <c r="L84" s="467"/>
      <c r="M84" s="468"/>
      <c r="N84" s="469"/>
      <c r="O84" s="469"/>
      <c r="P84" s="469"/>
      <c r="Q84" s="469"/>
      <c r="R84" s="469"/>
      <c r="S84" s="469"/>
      <c r="T84" s="470"/>
      <c r="U84" s="470"/>
      <c r="V84" s="470"/>
      <c r="W84" s="470"/>
      <c r="X84" s="471"/>
      <c r="Y84" s="471"/>
      <c r="Z84" s="471"/>
      <c r="AA84" s="472"/>
    </row>
    <row r="85" spans="1:27" ht="24" customHeight="1">
      <c r="A85" s="464"/>
      <c r="B85" s="465"/>
      <c r="C85" s="465"/>
      <c r="D85" s="466"/>
      <c r="E85" s="467"/>
      <c r="F85" s="467"/>
      <c r="G85" s="467"/>
      <c r="H85" s="467"/>
      <c r="I85" s="467"/>
      <c r="J85" s="467"/>
      <c r="K85" s="467"/>
      <c r="L85" s="467"/>
      <c r="M85" s="468"/>
      <c r="N85" s="469"/>
      <c r="O85" s="469"/>
      <c r="P85" s="469"/>
      <c r="Q85" s="469"/>
      <c r="R85" s="469"/>
      <c r="S85" s="469"/>
      <c r="T85" s="470"/>
      <c r="U85" s="470"/>
      <c r="V85" s="470"/>
      <c r="W85" s="470"/>
      <c r="X85" s="471"/>
      <c r="Y85" s="471"/>
      <c r="Z85" s="471"/>
      <c r="AA85" s="472"/>
    </row>
    <row r="86" spans="1:27" ht="24" customHeight="1">
      <c r="A86" s="464"/>
      <c r="B86" s="465"/>
      <c r="C86" s="465"/>
      <c r="D86" s="466"/>
      <c r="E86" s="467"/>
      <c r="F86" s="467"/>
      <c r="G86" s="467"/>
      <c r="H86" s="467"/>
      <c r="I86" s="467"/>
      <c r="J86" s="467"/>
      <c r="K86" s="467"/>
      <c r="L86" s="467"/>
      <c r="M86" s="468"/>
      <c r="N86" s="469"/>
      <c r="O86" s="469"/>
      <c r="P86" s="469"/>
      <c r="Q86" s="469"/>
      <c r="R86" s="469"/>
      <c r="S86" s="469"/>
      <c r="T86" s="470"/>
      <c r="U86" s="470"/>
      <c r="V86" s="470"/>
      <c r="W86" s="470"/>
      <c r="X86" s="471"/>
      <c r="Y86" s="471"/>
      <c r="Z86" s="471"/>
      <c r="AA86" s="472"/>
    </row>
    <row r="87" spans="1:27" ht="24" customHeight="1">
      <c r="A87" s="464"/>
      <c r="B87" s="465"/>
      <c r="C87" s="465"/>
      <c r="D87" s="466"/>
      <c r="E87" s="467"/>
      <c r="F87" s="467"/>
      <c r="G87" s="467"/>
      <c r="H87" s="467"/>
      <c r="I87" s="467"/>
      <c r="J87" s="467"/>
      <c r="K87" s="467"/>
      <c r="L87" s="467"/>
      <c r="M87" s="468"/>
      <c r="N87" s="469"/>
      <c r="O87" s="469"/>
      <c r="P87" s="469"/>
      <c r="Q87" s="469"/>
      <c r="R87" s="469"/>
      <c r="S87" s="469"/>
      <c r="T87" s="470"/>
      <c r="U87" s="470"/>
      <c r="V87" s="470"/>
      <c r="W87" s="470"/>
      <c r="X87" s="471"/>
      <c r="Y87" s="471"/>
      <c r="Z87" s="471"/>
      <c r="AA87" s="472"/>
    </row>
    <row r="88" spans="1:27" ht="24" customHeight="1">
      <c r="A88" s="464"/>
      <c r="B88" s="465"/>
      <c r="C88" s="465"/>
      <c r="D88" s="466"/>
      <c r="E88" s="467"/>
      <c r="F88" s="467"/>
      <c r="G88" s="467"/>
      <c r="H88" s="467"/>
      <c r="I88" s="467"/>
      <c r="J88" s="467"/>
      <c r="K88" s="467"/>
      <c r="L88" s="467"/>
      <c r="M88" s="468"/>
      <c r="N88" s="469"/>
      <c r="O88" s="469"/>
      <c r="P88" s="469"/>
      <c r="Q88" s="469"/>
      <c r="R88" s="469"/>
      <c r="S88" s="469"/>
      <c r="T88" s="470"/>
      <c r="U88" s="470"/>
      <c r="V88" s="470"/>
      <c r="W88" s="470"/>
      <c r="X88" s="471"/>
      <c r="Y88" s="471"/>
      <c r="Z88" s="471"/>
      <c r="AA88" s="472"/>
    </row>
    <row r="89" spans="1:27" ht="24" customHeight="1">
      <c r="A89" s="464"/>
      <c r="B89" s="465"/>
      <c r="C89" s="465"/>
      <c r="D89" s="466"/>
      <c r="E89" s="467"/>
      <c r="F89" s="467"/>
      <c r="G89" s="467"/>
      <c r="H89" s="467"/>
      <c r="I89" s="467"/>
      <c r="J89" s="467"/>
      <c r="K89" s="467"/>
      <c r="L89" s="467"/>
      <c r="M89" s="468"/>
      <c r="N89" s="469"/>
      <c r="O89" s="469"/>
      <c r="P89" s="469"/>
      <c r="Q89" s="469"/>
      <c r="R89" s="469"/>
      <c r="S89" s="469"/>
      <c r="T89" s="470"/>
      <c r="U89" s="470"/>
      <c r="V89" s="470"/>
      <c r="W89" s="470"/>
      <c r="X89" s="471"/>
      <c r="Y89" s="471"/>
      <c r="Z89" s="471"/>
      <c r="AA89" s="472"/>
    </row>
    <row r="90" spans="1:27" ht="24" customHeight="1">
      <c r="A90" s="464"/>
      <c r="B90" s="465"/>
      <c r="C90" s="465"/>
      <c r="D90" s="466"/>
      <c r="E90" s="467"/>
      <c r="F90" s="467"/>
      <c r="G90" s="467"/>
      <c r="H90" s="467"/>
      <c r="I90" s="467"/>
      <c r="J90" s="467"/>
      <c r="K90" s="467"/>
      <c r="L90" s="467"/>
      <c r="M90" s="468"/>
      <c r="N90" s="469"/>
      <c r="O90" s="469"/>
      <c r="P90" s="469"/>
      <c r="Q90" s="469"/>
      <c r="R90" s="469"/>
      <c r="S90" s="469"/>
      <c r="T90" s="470"/>
      <c r="U90" s="470"/>
      <c r="V90" s="470"/>
      <c r="W90" s="470"/>
      <c r="X90" s="471"/>
      <c r="Y90" s="471"/>
      <c r="Z90" s="471"/>
      <c r="AA90" s="472"/>
    </row>
    <row r="91" spans="1:27" ht="24" customHeight="1">
      <c r="A91" s="464"/>
      <c r="B91" s="465"/>
      <c r="C91" s="465"/>
      <c r="D91" s="466"/>
      <c r="E91" s="467"/>
      <c r="F91" s="467"/>
      <c r="G91" s="467"/>
      <c r="H91" s="467"/>
      <c r="I91" s="467"/>
      <c r="J91" s="467"/>
      <c r="K91" s="467"/>
      <c r="L91" s="467"/>
      <c r="M91" s="468"/>
      <c r="N91" s="469"/>
      <c r="O91" s="469"/>
      <c r="P91" s="469"/>
      <c r="Q91" s="469"/>
      <c r="R91" s="469"/>
      <c r="S91" s="469"/>
      <c r="T91" s="470"/>
      <c r="U91" s="470"/>
      <c r="V91" s="470"/>
      <c r="W91" s="470"/>
      <c r="X91" s="471"/>
      <c r="Y91" s="471"/>
      <c r="Z91" s="471"/>
      <c r="AA91" s="472"/>
    </row>
    <row r="92" spans="1:27" ht="24" customHeight="1">
      <c r="A92" s="464"/>
      <c r="B92" s="465"/>
      <c r="C92" s="465"/>
      <c r="D92" s="466"/>
      <c r="E92" s="467"/>
      <c r="F92" s="467"/>
      <c r="G92" s="467"/>
      <c r="H92" s="467"/>
      <c r="I92" s="467"/>
      <c r="J92" s="467"/>
      <c r="K92" s="467"/>
      <c r="L92" s="467"/>
      <c r="M92" s="468"/>
      <c r="N92" s="469"/>
      <c r="O92" s="469"/>
      <c r="P92" s="469"/>
      <c r="Q92" s="469"/>
      <c r="R92" s="469"/>
      <c r="S92" s="469"/>
      <c r="T92" s="470"/>
      <c r="U92" s="470"/>
      <c r="V92" s="470"/>
      <c r="W92" s="470"/>
      <c r="X92" s="471"/>
      <c r="Y92" s="471"/>
      <c r="Z92" s="471"/>
      <c r="AA92" s="472"/>
    </row>
    <row r="93" spans="1:27" ht="24" customHeight="1">
      <c r="A93" s="464"/>
      <c r="B93" s="465"/>
      <c r="C93" s="465"/>
      <c r="D93" s="466"/>
      <c r="E93" s="467"/>
      <c r="F93" s="467"/>
      <c r="G93" s="467"/>
      <c r="H93" s="467"/>
      <c r="I93" s="467"/>
      <c r="J93" s="467"/>
      <c r="K93" s="467"/>
      <c r="L93" s="467"/>
      <c r="M93" s="468"/>
      <c r="N93" s="469"/>
      <c r="O93" s="469"/>
      <c r="P93" s="469"/>
      <c r="Q93" s="469"/>
      <c r="R93" s="469"/>
      <c r="S93" s="469"/>
      <c r="T93" s="470"/>
      <c r="U93" s="470"/>
      <c r="V93" s="470"/>
      <c r="W93" s="470"/>
      <c r="X93" s="471"/>
      <c r="Y93" s="471"/>
      <c r="Z93" s="471"/>
      <c r="AA93" s="472"/>
    </row>
    <row r="94" spans="1:27" ht="24" customHeight="1">
      <c r="A94" s="464"/>
      <c r="B94" s="465"/>
      <c r="C94" s="465"/>
      <c r="D94" s="466"/>
      <c r="E94" s="467"/>
      <c r="F94" s="467"/>
      <c r="G94" s="467"/>
      <c r="H94" s="467"/>
      <c r="I94" s="467"/>
      <c r="J94" s="467"/>
      <c r="K94" s="467"/>
      <c r="L94" s="467"/>
      <c r="M94" s="468"/>
      <c r="N94" s="469"/>
      <c r="O94" s="469"/>
      <c r="P94" s="469"/>
      <c r="Q94" s="469"/>
      <c r="R94" s="469"/>
      <c r="S94" s="469"/>
      <c r="T94" s="470"/>
      <c r="U94" s="470"/>
      <c r="V94" s="470"/>
      <c r="W94" s="470"/>
      <c r="X94" s="471"/>
      <c r="Y94" s="471"/>
      <c r="Z94" s="471"/>
      <c r="AA94" s="472"/>
    </row>
    <row r="95" spans="1:27" ht="24" customHeight="1">
      <c r="A95" s="464"/>
      <c r="B95" s="465"/>
      <c r="C95" s="465"/>
      <c r="D95" s="466"/>
      <c r="E95" s="467"/>
      <c r="F95" s="467"/>
      <c r="G95" s="467"/>
      <c r="H95" s="467"/>
      <c r="I95" s="467"/>
      <c r="J95" s="467"/>
      <c r="K95" s="467"/>
      <c r="L95" s="467"/>
      <c r="M95" s="468"/>
      <c r="N95" s="469"/>
      <c r="O95" s="469"/>
      <c r="P95" s="469"/>
      <c r="Q95" s="469"/>
      <c r="R95" s="469"/>
      <c r="S95" s="469"/>
      <c r="T95" s="470"/>
      <c r="U95" s="470"/>
      <c r="V95" s="470"/>
      <c r="W95" s="470"/>
      <c r="X95" s="471"/>
      <c r="Y95" s="471"/>
      <c r="Z95" s="471"/>
      <c r="AA95" s="472"/>
    </row>
    <row r="96" spans="1:27" ht="24" customHeight="1">
      <c r="A96" s="464"/>
      <c r="B96" s="465"/>
      <c r="C96" s="465"/>
      <c r="D96" s="466"/>
      <c r="E96" s="467"/>
      <c r="F96" s="467"/>
      <c r="G96" s="467"/>
      <c r="H96" s="467"/>
      <c r="I96" s="467"/>
      <c r="J96" s="467"/>
      <c r="K96" s="467"/>
      <c r="L96" s="467"/>
      <c r="M96" s="468"/>
      <c r="N96" s="469"/>
      <c r="O96" s="469"/>
      <c r="P96" s="469"/>
      <c r="Q96" s="469"/>
      <c r="R96" s="469"/>
      <c r="S96" s="469"/>
      <c r="T96" s="470"/>
      <c r="U96" s="470"/>
      <c r="V96" s="470"/>
      <c r="W96" s="470"/>
      <c r="X96" s="471"/>
      <c r="Y96" s="471"/>
      <c r="Z96" s="471"/>
      <c r="AA96" s="472"/>
    </row>
    <row r="97" spans="1:27" ht="24" customHeight="1">
      <c r="A97" s="464"/>
      <c r="B97" s="465"/>
      <c r="C97" s="465"/>
      <c r="D97" s="466"/>
      <c r="E97" s="467"/>
      <c r="F97" s="467"/>
      <c r="G97" s="467"/>
      <c r="H97" s="467"/>
      <c r="I97" s="467"/>
      <c r="J97" s="467"/>
      <c r="K97" s="467"/>
      <c r="L97" s="467"/>
      <c r="M97" s="468"/>
      <c r="N97" s="469"/>
      <c r="O97" s="469"/>
      <c r="P97" s="469"/>
      <c r="Q97" s="469"/>
      <c r="R97" s="469"/>
      <c r="S97" s="469"/>
      <c r="T97" s="470"/>
      <c r="U97" s="470"/>
      <c r="V97" s="470"/>
      <c r="W97" s="470"/>
      <c r="X97" s="471"/>
      <c r="Y97" s="471"/>
      <c r="Z97" s="471"/>
      <c r="AA97" s="472"/>
    </row>
    <row r="98" spans="1:27" ht="12.75" customHeight="1">
      <c r="A98" s="509" t="s">
        <v>42</v>
      </c>
      <c r="B98" s="510"/>
      <c r="C98" s="510"/>
      <c r="D98" s="510"/>
      <c r="E98" s="510"/>
      <c r="F98" s="510"/>
      <c r="G98" s="510"/>
      <c r="H98" s="510"/>
      <c r="I98" s="510"/>
      <c r="J98" s="510"/>
      <c r="K98" s="510"/>
      <c r="L98" s="510"/>
      <c r="M98" s="511"/>
      <c r="N98" s="469">
        <f>SUM(N22:P97)</f>
        <v>229900000</v>
      </c>
      <c r="O98" s="469"/>
      <c r="P98" s="469"/>
      <c r="Q98" s="469">
        <f>SUM(Q22:S97)</f>
        <v>0</v>
      </c>
      <c r="R98" s="469"/>
      <c r="S98" s="469"/>
      <c r="T98" s="159"/>
      <c r="U98" s="159"/>
      <c r="V98" s="159"/>
      <c r="W98" s="159"/>
      <c r="X98" s="159"/>
      <c r="Y98" s="159"/>
      <c r="Z98" s="159"/>
      <c r="AA98" s="508"/>
    </row>
    <row r="99" spans="1:27" ht="11.25" customHeight="1">
      <c r="A99" s="505" t="s">
        <v>46</v>
      </c>
      <c r="B99" s="506"/>
      <c r="C99" s="506"/>
      <c r="D99" s="15">
        <f>Bilgiler!D10</f>
        <v>4</v>
      </c>
      <c r="E99" s="15" t="s">
        <v>69</v>
      </c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507" t="s">
        <v>70</v>
      </c>
      <c r="Q99" s="507"/>
      <c r="R99" s="507"/>
      <c r="S99" s="507"/>
      <c r="T99" s="507"/>
      <c r="U99" s="507"/>
      <c r="V99" s="471">
        <f>Q98/N98</f>
        <v>0</v>
      </c>
      <c r="W99" s="471"/>
      <c r="X99" s="471"/>
      <c r="Y99" s="471">
        <f>V99</f>
        <v>0</v>
      </c>
      <c r="Z99" s="471"/>
      <c r="AA99" s="472"/>
    </row>
    <row r="100" spans="1:27" ht="12" customHeight="1">
      <c r="A100" s="501" t="s">
        <v>64</v>
      </c>
      <c r="B100" s="502"/>
      <c r="C100" s="502"/>
      <c r="D100" s="502" t="s">
        <v>65</v>
      </c>
      <c r="E100" s="502"/>
      <c r="F100" s="502"/>
      <c r="G100" s="502"/>
      <c r="H100" s="502"/>
      <c r="I100" s="502"/>
      <c r="J100" s="502"/>
      <c r="K100" s="502"/>
      <c r="L100" s="502"/>
      <c r="M100" s="502"/>
      <c r="N100" s="503" t="s">
        <v>66</v>
      </c>
      <c r="O100" s="503"/>
      <c r="P100" s="503"/>
      <c r="Q100" s="504" t="s">
        <v>67</v>
      </c>
      <c r="R100" s="504"/>
      <c r="S100" s="504"/>
      <c r="T100" s="495" t="s">
        <v>68</v>
      </c>
      <c r="U100" s="495"/>
      <c r="V100" s="495"/>
      <c r="W100" s="495"/>
      <c r="X100" s="495"/>
      <c r="Y100" s="495"/>
      <c r="Z100" s="495"/>
      <c r="AA100" s="496"/>
    </row>
    <row r="101" spans="1:27" ht="11.25" customHeight="1">
      <c r="A101" s="499" t="str">
        <f>TEXT(Bilgiler!D11,"GG.AA.YYYY")</f>
        <v>28.02.2026</v>
      </c>
      <c r="B101" s="500"/>
      <c r="C101" s="500"/>
      <c r="D101" s="492">
        <f>Q98</f>
        <v>0</v>
      </c>
      <c r="E101" s="493"/>
      <c r="F101" s="493"/>
      <c r="G101" s="493"/>
      <c r="H101" s="493"/>
      <c r="I101" s="493"/>
      <c r="J101" s="493"/>
      <c r="K101" s="493"/>
      <c r="L101" s="493"/>
      <c r="M101" s="493"/>
      <c r="N101" s="494"/>
      <c r="O101" s="494"/>
      <c r="P101" s="494"/>
      <c r="Q101" s="494">
        <f>D101*0.18</f>
        <v>0</v>
      </c>
      <c r="R101" s="494"/>
      <c r="S101" s="494"/>
      <c r="T101" s="494">
        <f>D101+N101+Q101</f>
        <v>0</v>
      </c>
      <c r="U101" s="497"/>
      <c r="V101" s="497"/>
      <c r="W101" s="497"/>
      <c r="X101" s="497"/>
      <c r="Y101" s="497"/>
      <c r="Z101" s="497"/>
      <c r="AA101" s="498"/>
    </row>
    <row r="102" spans="1:27" ht="11.25" customHeight="1">
      <c r="A102" s="3" t="s">
        <v>54</v>
      </c>
      <c r="B102" s="13" t="s">
        <v>55</v>
      </c>
      <c r="C102" s="4" t="s">
        <v>63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17"/>
    </row>
    <row r="103" spans="1:27" ht="11.25" customHeight="1">
      <c r="A103" s="3"/>
      <c r="B103" s="13" t="s">
        <v>56</v>
      </c>
      <c r="C103" s="4" t="s">
        <v>57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6"/>
    </row>
    <row r="104" spans="1:27" ht="11.25" customHeight="1">
      <c r="A104" s="3"/>
      <c r="B104" s="13" t="s">
        <v>58</v>
      </c>
      <c r="C104" s="4" t="s">
        <v>59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6"/>
    </row>
    <row r="105" spans="1:27" ht="11.25" customHeight="1" thickBot="1">
      <c r="A105" s="7" t="s">
        <v>60</v>
      </c>
      <c r="B105" s="14" t="s">
        <v>61</v>
      </c>
      <c r="C105" s="8" t="s">
        <v>62</v>
      </c>
      <c r="D105" s="9"/>
      <c r="E105" s="9"/>
      <c r="F105" s="9"/>
      <c r="G105" s="9"/>
      <c r="H105" s="9"/>
      <c r="I105" s="10"/>
      <c r="J105" s="10"/>
      <c r="K105" s="10"/>
      <c r="L105" s="10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</row>
    <row r="106" spans="1:27" ht="15" thickTop="1"/>
  </sheetData>
  <customSheetViews>
    <customSheetView guid="{99F77AB9-FA43-4D4B-9896-F712C1493A3C}" scale="115" showPageBreaks="1" printArea="1" view="pageBreakPreview">
      <selection activeCell="E4" sqref="E4:AA4"/>
      <pageMargins left="0.7" right="0.32" top="0.3" bottom="0.28000000000000003" header="0.3" footer="0.3"/>
      <pageSetup paperSize="9" orientation="portrait" verticalDpi="200" r:id="rId1"/>
    </customSheetView>
    <customSheetView guid="{C8BAC6B5-86E1-4F54-AEAC-1412291311FD}" scale="115" showPageBreaks="1" printArea="1" view="pageBreakPreview">
      <selection activeCell="E4" sqref="E4:AA4"/>
      <pageMargins left="0.7" right="0.32" top="0.3" bottom="0.28000000000000003" header="0.3" footer="0.3"/>
      <pageSetup paperSize="9" orientation="portrait" verticalDpi="200" r:id="rId2"/>
    </customSheetView>
  </customSheetViews>
  <mergeCells count="535">
    <mergeCell ref="E1:W3"/>
    <mergeCell ref="X1:Z3"/>
    <mergeCell ref="AA1:AA3"/>
    <mergeCell ref="A27:C27"/>
    <mergeCell ref="D27:M27"/>
    <mergeCell ref="N27:P27"/>
    <mergeCell ref="Q27:S27"/>
    <mergeCell ref="T27:V27"/>
    <mergeCell ref="W27:AA27"/>
    <mergeCell ref="A1:D3"/>
    <mergeCell ref="A4:D4"/>
    <mergeCell ref="E4:AA4"/>
    <mergeCell ref="A5:D11"/>
    <mergeCell ref="E5:O11"/>
    <mergeCell ref="P5:R5"/>
    <mergeCell ref="P6:R6"/>
    <mergeCell ref="P7:Q7"/>
    <mergeCell ref="P10:S10"/>
    <mergeCell ref="T10:AA10"/>
    <mergeCell ref="P9:AA9"/>
    <mergeCell ref="P11:S11"/>
    <mergeCell ref="T11:AA11"/>
    <mergeCell ref="V7:W7"/>
    <mergeCell ref="S5:AA5"/>
    <mergeCell ref="Q54:S54"/>
    <mergeCell ref="T54:V54"/>
    <mergeCell ref="W54:AA54"/>
    <mergeCell ref="Q55:S55"/>
    <mergeCell ref="T55:V55"/>
    <mergeCell ref="W55:AA55"/>
    <mergeCell ref="Q51:S51"/>
    <mergeCell ref="T51:V51"/>
    <mergeCell ref="W51:AA51"/>
    <mergeCell ref="Q52:S52"/>
    <mergeCell ref="T52:V52"/>
    <mergeCell ref="W52:AA52"/>
    <mergeCell ref="Q53:S53"/>
    <mergeCell ref="T53:V53"/>
    <mergeCell ref="W53:AA53"/>
    <mergeCell ref="Q48:S48"/>
    <mergeCell ref="T48:V48"/>
    <mergeCell ref="W48:AA48"/>
    <mergeCell ref="Q49:S49"/>
    <mergeCell ref="T49:V49"/>
    <mergeCell ref="W49:AA49"/>
    <mergeCell ref="Q50:S50"/>
    <mergeCell ref="T50:V50"/>
    <mergeCell ref="W50:AA50"/>
    <mergeCell ref="T44:V44"/>
    <mergeCell ref="W44:AA44"/>
    <mergeCell ref="Q45:S45"/>
    <mergeCell ref="T45:V45"/>
    <mergeCell ref="W45:AA45"/>
    <mergeCell ref="Q46:S46"/>
    <mergeCell ref="T46:V46"/>
    <mergeCell ref="W46:AA46"/>
    <mergeCell ref="Q47:S47"/>
    <mergeCell ref="T47:V47"/>
    <mergeCell ref="W47:AA47"/>
    <mergeCell ref="N51:P51"/>
    <mergeCell ref="N52:P52"/>
    <mergeCell ref="N53:P53"/>
    <mergeCell ref="N54:P54"/>
    <mergeCell ref="N55:P55"/>
    <mergeCell ref="Q38:S38"/>
    <mergeCell ref="T38:V38"/>
    <mergeCell ref="W38:AA38"/>
    <mergeCell ref="Q39:S39"/>
    <mergeCell ref="T39:V39"/>
    <mergeCell ref="W39:AA39"/>
    <mergeCell ref="Q40:S40"/>
    <mergeCell ref="T40:V40"/>
    <mergeCell ref="W40:AA40"/>
    <mergeCell ref="Q41:S41"/>
    <mergeCell ref="T41:V41"/>
    <mergeCell ref="W41:AA41"/>
    <mergeCell ref="Q42:S42"/>
    <mergeCell ref="T42:V42"/>
    <mergeCell ref="W42:AA42"/>
    <mergeCell ref="Q43:S43"/>
    <mergeCell ref="T43:V43"/>
    <mergeCell ref="W43:AA43"/>
    <mergeCell ref="Q44:S44"/>
    <mergeCell ref="N42:P42"/>
    <mergeCell ref="N43:P43"/>
    <mergeCell ref="N44:P44"/>
    <mergeCell ref="N45:P45"/>
    <mergeCell ref="N46:P46"/>
    <mergeCell ref="N47:P47"/>
    <mergeCell ref="N48:P48"/>
    <mergeCell ref="N49:P49"/>
    <mergeCell ref="N50:P50"/>
    <mergeCell ref="A51:C51"/>
    <mergeCell ref="A52:C52"/>
    <mergeCell ref="A53:C53"/>
    <mergeCell ref="A54:C54"/>
    <mergeCell ref="A55:C55"/>
    <mergeCell ref="D38:M38"/>
    <mergeCell ref="D39:M39"/>
    <mergeCell ref="D40:M40"/>
    <mergeCell ref="D41:M41"/>
    <mergeCell ref="D42:M42"/>
    <mergeCell ref="D43:M43"/>
    <mergeCell ref="D44:M44"/>
    <mergeCell ref="D45:M45"/>
    <mergeCell ref="D46:M46"/>
    <mergeCell ref="D47:M47"/>
    <mergeCell ref="D48:M48"/>
    <mergeCell ref="D49:M49"/>
    <mergeCell ref="D50:M50"/>
    <mergeCell ref="D51:M51"/>
    <mergeCell ref="D52:M52"/>
    <mergeCell ref="D53:M53"/>
    <mergeCell ref="D54:M54"/>
    <mergeCell ref="D55:M55"/>
    <mergeCell ref="A42:C42"/>
    <mergeCell ref="A78:C78"/>
    <mergeCell ref="D78:M78"/>
    <mergeCell ref="N78:P78"/>
    <mergeCell ref="Q78:S78"/>
    <mergeCell ref="T78:V78"/>
    <mergeCell ref="W78:AA78"/>
    <mergeCell ref="A76:C76"/>
    <mergeCell ref="D76:M76"/>
    <mergeCell ref="N76:P76"/>
    <mergeCell ref="Q76:S76"/>
    <mergeCell ref="T76:V76"/>
    <mergeCell ref="W76:AA76"/>
    <mergeCell ref="A77:C77"/>
    <mergeCell ref="D77:M77"/>
    <mergeCell ref="N77:P77"/>
    <mergeCell ref="Q77:S77"/>
    <mergeCell ref="T77:V77"/>
    <mergeCell ref="W77:AA77"/>
    <mergeCell ref="A74:C74"/>
    <mergeCell ref="D74:M74"/>
    <mergeCell ref="N74:P74"/>
    <mergeCell ref="Q74:S74"/>
    <mergeCell ref="T74:V74"/>
    <mergeCell ref="W74:AA74"/>
    <mergeCell ref="A75:C75"/>
    <mergeCell ref="D75:M75"/>
    <mergeCell ref="N75:P75"/>
    <mergeCell ref="Q75:S75"/>
    <mergeCell ref="T75:V75"/>
    <mergeCell ref="W75:AA75"/>
    <mergeCell ref="A72:C72"/>
    <mergeCell ref="D72:M72"/>
    <mergeCell ref="N72:P72"/>
    <mergeCell ref="Q72:S72"/>
    <mergeCell ref="T72:V72"/>
    <mergeCell ref="W72:AA72"/>
    <mergeCell ref="A73:C73"/>
    <mergeCell ref="D73:M73"/>
    <mergeCell ref="N73:P73"/>
    <mergeCell ref="Q73:S73"/>
    <mergeCell ref="T73:V73"/>
    <mergeCell ref="W73:AA73"/>
    <mergeCell ref="A70:C70"/>
    <mergeCell ref="D70:M70"/>
    <mergeCell ref="N70:P70"/>
    <mergeCell ref="Q70:S70"/>
    <mergeCell ref="T70:V70"/>
    <mergeCell ref="W70:AA70"/>
    <mergeCell ref="A71:C71"/>
    <mergeCell ref="D71:M71"/>
    <mergeCell ref="N71:P71"/>
    <mergeCell ref="Q71:S71"/>
    <mergeCell ref="T71:V71"/>
    <mergeCell ref="W71:AA71"/>
    <mergeCell ref="A68:C68"/>
    <mergeCell ref="D68:M68"/>
    <mergeCell ref="N68:P68"/>
    <mergeCell ref="Q68:S68"/>
    <mergeCell ref="T68:V68"/>
    <mergeCell ref="W68:AA68"/>
    <mergeCell ref="A69:C69"/>
    <mergeCell ref="D69:M69"/>
    <mergeCell ref="N69:P69"/>
    <mergeCell ref="Q69:S69"/>
    <mergeCell ref="T69:V69"/>
    <mergeCell ref="W69:AA69"/>
    <mergeCell ref="A66:C66"/>
    <mergeCell ref="D66:M66"/>
    <mergeCell ref="N66:P66"/>
    <mergeCell ref="Q66:S66"/>
    <mergeCell ref="T66:V66"/>
    <mergeCell ref="W66:AA66"/>
    <mergeCell ref="A67:C67"/>
    <mergeCell ref="D67:M67"/>
    <mergeCell ref="N67:P67"/>
    <mergeCell ref="Q67:S67"/>
    <mergeCell ref="T67:V67"/>
    <mergeCell ref="W67:AA67"/>
    <mergeCell ref="A64:C64"/>
    <mergeCell ref="D64:M64"/>
    <mergeCell ref="N64:P64"/>
    <mergeCell ref="Q64:S64"/>
    <mergeCell ref="T64:V64"/>
    <mergeCell ref="W64:AA64"/>
    <mergeCell ref="A65:C65"/>
    <mergeCell ref="D65:M65"/>
    <mergeCell ref="N65:P65"/>
    <mergeCell ref="Q65:S65"/>
    <mergeCell ref="T65:V65"/>
    <mergeCell ref="W65:AA65"/>
    <mergeCell ref="A60:C60"/>
    <mergeCell ref="D60:M60"/>
    <mergeCell ref="N60:P60"/>
    <mergeCell ref="Q60:S60"/>
    <mergeCell ref="T60:V60"/>
    <mergeCell ref="W60:AA60"/>
    <mergeCell ref="A63:C63"/>
    <mergeCell ref="D63:M63"/>
    <mergeCell ref="N63:P63"/>
    <mergeCell ref="Q63:S63"/>
    <mergeCell ref="T63:V63"/>
    <mergeCell ref="W63:AA63"/>
    <mergeCell ref="A61:AA62"/>
    <mergeCell ref="A58:C58"/>
    <mergeCell ref="D58:M58"/>
    <mergeCell ref="N58:P58"/>
    <mergeCell ref="Q58:S58"/>
    <mergeCell ref="T58:V58"/>
    <mergeCell ref="W58:AA58"/>
    <mergeCell ref="A59:C59"/>
    <mergeCell ref="D59:M59"/>
    <mergeCell ref="N59:P59"/>
    <mergeCell ref="Q59:S59"/>
    <mergeCell ref="T59:V59"/>
    <mergeCell ref="W59:AA59"/>
    <mergeCell ref="A20:C20"/>
    <mergeCell ref="S6:AA6"/>
    <mergeCell ref="R7:U7"/>
    <mergeCell ref="X7:AA7"/>
    <mergeCell ref="P8:S8"/>
    <mergeCell ref="T8:AA8"/>
    <mergeCell ref="S17:W17"/>
    <mergeCell ref="S18:W18"/>
    <mergeCell ref="S19:W19"/>
    <mergeCell ref="A12:S12"/>
    <mergeCell ref="T12:AA12"/>
    <mergeCell ref="A13:F13"/>
    <mergeCell ref="G13:L13"/>
    <mergeCell ref="M13:O13"/>
    <mergeCell ref="P13:R13"/>
    <mergeCell ref="S13:W13"/>
    <mergeCell ref="X13:AA13"/>
    <mergeCell ref="A14:F14"/>
    <mergeCell ref="A15:F15"/>
    <mergeCell ref="A16:F16"/>
    <mergeCell ref="G14:L14"/>
    <mergeCell ref="G15:L15"/>
    <mergeCell ref="G16:L16"/>
    <mergeCell ref="S14:W14"/>
    <mergeCell ref="X14:AA14"/>
    <mergeCell ref="X15:AA15"/>
    <mergeCell ref="X16:AA16"/>
    <mergeCell ref="X17:AA17"/>
    <mergeCell ref="X18:AA18"/>
    <mergeCell ref="X19:AA19"/>
    <mergeCell ref="A17:L17"/>
    <mergeCell ref="A18:L18"/>
    <mergeCell ref="A19:L19"/>
    <mergeCell ref="M17:O17"/>
    <mergeCell ref="P17:R17"/>
    <mergeCell ref="M18:O18"/>
    <mergeCell ref="P18:R18"/>
    <mergeCell ref="M19:O19"/>
    <mergeCell ref="P19:R19"/>
    <mergeCell ref="M14:O14"/>
    <mergeCell ref="P14:R14"/>
    <mergeCell ref="M15:O15"/>
    <mergeCell ref="P15:R15"/>
    <mergeCell ref="M16:O16"/>
    <mergeCell ref="P16:R16"/>
    <mergeCell ref="S16:W16"/>
    <mergeCell ref="S15:W15"/>
    <mergeCell ref="A21:C21"/>
    <mergeCell ref="D21:M21"/>
    <mergeCell ref="A24:C24"/>
    <mergeCell ref="D24:M24"/>
    <mergeCell ref="N24:P24"/>
    <mergeCell ref="Q24:S24"/>
    <mergeCell ref="T24:V24"/>
    <mergeCell ref="W24:AA24"/>
    <mergeCell ref="A23:C23"/>
    <mergeCell ref="D23:M23"/>
    <mergeCell ref="N23:P23"/>
    <mergeCell ref="Q23:S23"/>
    <mergeCell ref="T23:V23"/>
    <mergeCell ref="W23:AA23"/>
    <mergeCell ref="A22:C22"/>
    <mergeCell ref="D22:M22"/>
    <mergeCell ref="N22:P22"/>
    <mergeCell ref="Q22:S22"/>
    <mergeCell ref="T22:V22"/>
    <mergeCell ref="W22:AA22"/>
    <mergeCell ref="N21:P21"/>
    <mergeCell ref="Q21:S21"/>
    <mergeCell ref="T21:V21"/>
    <mergeCell ref="W21:AA21"/>
    <mergeCell ref="A26:C26"/>
    <mergeCell ref="D26:M26"/>
    <mergeCell ref="N26:P26"/>
    <mergeCell ref="Q26:S26"/>
    <mergeCell ref="T26:V26"/>
    <mergeCell ref="W26:AA26"/>
    <mergeCell ref="A25:C25"/>
    <mergeCell ref="D25:M25"/>
    <mergeCell ref="N25:P25"/>
    <mergeCell ref="Q25:S25"/>
    <mergeCell ref="T25:V25"/>
    <mergeCell ref="W25:AA25"/>
    <mergeCell ref="A43:C43"/>
    <mergeCell ref="A44:C44"/>
    <mergeCell ref="A45:C45"/>
    <mergeCell ref="A46:C46"/>
    <mergeCell ref="A47:C47"/>
    <mergeCell ref="A48:C48"/>
    <mergeCell ref="A49:C49"/>
    <mergeCell ref="A50:C50"/>
    <mergeCell ref="D37:M37"/>
    <mergeCell ref="N37:P37"/>
    <mergeCell ref="Q37:S37"/>
    <mergeCell ref="T37:V37"/>
    <mergeCell ref="W37:AA37"/>
    <mergeCell ref="A38:C38"/>
    <mergeCell ref="A39:C39"/>
    <mergeCell ref="A40:C40"/>
    <mergeCell ref="A41:C41"/>
    <mergeCell ref="N38:P38"/>
    <mergeCell ref="N39:P39"/>
    <mergeCell ref="N40:P40"/>
    <mergeCell ref="N41:P41"/>
    <mergeCell ref="A99:C99"/>
    <mergeCell ref="P99:U99"/>
    <mergeCell ref="V99:X99"/>
    <mergeCell ref="Y99:AA99"/>
    <mergeCell ref="A35:C35"/>
    <mergeCell ref="D35:M35"/>
    <mergeCell ref="N98:P98"/>
    <mergeCell ref="Q98:S98"/>
    <mergeCell ref="T98:V98"/>
    <mergeCell ref="W98:AA98"/>
    <mergeCell ref="A98:M98"/>
    <mergeCell ref="A57:C57"/>
    <mergeCell ref="D57:M57"/>
    <mergeCell ref="N57:P57"/>
    <mergeCell ref="Q57:S57"/>
    <mergeCell ref="T57:V57"/>
    <mergeCell ref="W57:AA57"/>
    <mergeCell ref="A56:C56"/>
    <mergeCell ref="D56:M56"/>
    <mergeCell ref="N56:P56"/>
    <mergeCell ref="Q56:S56"/>
    <mergeCell ref="T56:V56"/>
    <mergeCell ref="W56:AA56"/>
    <mergeCell ref="A37:C37"/>
    <mergeCell ref="D101:M101"/>
    <mergeCell ref="N101:P101"/>
    <mergeCell ref="Q101:S101"/>
    <mergeCell ref="T100:AA100"/>
    <mergeCell ref="T101:AA101"/>
    <mergeCell ref="A101:C101"/>
    <mergeCell ref="A100:C100"/>
    <mergeCell ref="D100:M100"/>
    <mergeCell ref="N100:P100"/>
    <mergeCell ref="Q100:S100"/>
    <mergeCell ref="W28:AA28"/>
    <mergeCell ref="A28:C28"/>
    <mergeCell ref="D28:M28"/>
    <mergeCell ref="N28:P28"/>
    <mergeCell ref="Q28:S28"/>
    <mergeCell ref="T28:V28"/>
    <mergeCell ref="Q30:S30"/>
    <mergeCell ref="T30:V30"/>
    <mergeCell ref="W30:AA30"/>
    <mergeCell ref="A29:C29"/>
    <mergeCell ref="D29:M29"/>
    <mergeCell ref="N29:P29"/>
    <mergeCell ref="Q29:S29"/>
    <mergeCell ref="T29:V29"/>
    <mergeCell ref="W29:AA29"/>
    <mergeCell ref="A31:C31"/>
    <mergeCell ref="D31:M31"/>
    <mergeCell ref="N31:P31"/>
    <mergeCell ref="Q31:S31"/>
    <mergeCell ref="T31:V31"/>
    <mergeCell ref="W31:AA31"/>
    <mergeCell ref="A30:C30"/>
    <mergeCell ref="D30:M30"/>
    <mergeCell ref="N30:P30"/>
    <mergeCell ref="N36:P36"/>
    <mergeCell ref="Q36:S36"/>
    <mergeCell ref="T36:V36"/>
    <mergeCell ref="W36:AA36"/>
    <mergeCell ref="A34:C34"/>
    <mergeCell ref="D34:M34"/>
    <mergeCell ref="N34:P34"/>
    <mergeCell ref="Q34:S34"/>
    <mergeCell ref="T34:V34"/>
    <mergeCell ref="W34:AA34"/>
    <mergeCell ref="A79:C79"/>
    <mergeCell ref="D79:M79"/>
    <mergeCell ref="N79:P79"/>
    <mergeCell ref="Q79:S79"/>
    <mergeCell ref="T79:V79"/>
    <mergeCell ref="W79:AA79"/>
    <mergeCell ref="A32:C32"/>
    <mergeCell ref="D32:M32"/>
    <mergeCell ref="N32:P32"/>
    <mergeCell ref="Q32:S32"/>
    <mergeCell ref="T32:V32"/>
    <mergeCell ref="W32:AA32"/>
    <mergeCell ref="N35:P35"/>
    <mergeCell ref="Q35:S35"/>
    <mergeCell ref="T35:V35"/>
    <mergeCell ref="W35:AA35"/>
    <mergeCell ref="A33:C33"/>
    <mergeCell ref="D33:M33"/>
    <mergeCell ref="N33:P33"/>
    <mergeCell ref="Q33:S33"/>
    <mergeCell ref="T33:V33"/>
    <mergeCell ref="W33:AA33"/>
    <mergeCell ref="A36:C36"/>
    <mergeCell ref="D36:M36"/>
    <mergeCell ref="A80:C80"/>
    <mergeCell ref="D80:M80"/>
    <mergeCell ref="N80:P80"/>
    <mergeCell ref="Q80:S80"/>
    <mergeCell ref="T80:V80"/>
    <mergeCell ref="W80:AA80"/>
    <mergeCell ref="A81:C81"/>
    <mergeCell ref="D81:M81"/>
    <mergeCell ref="N81:P81"/>
    <mergeCell ref="Q81:S81"/>
    <mergeCell ref="T81:V81"/>
    <mergeCell ref="W81:AA81"/>
    <mergeCell ref="A82:C82"/>
    <mergeCell ref="D82:M82"/>
    <mergeCell ref="N82:P82"/>
    <mergeCell ref="Q82:S82"/>
    <mergeCell ref="T82:V82"/>
    <mergeCell ref="W82:AA82"/>
    <mergeCell ref="A83:C83"/>
    <mergeCell ref="D83:M83"/>
    <mergeCell ref="N83:P83"/>
    <mergeCell ref="Q83:S83"/>
    <mergeCell ref="T83:V83"/>
    <mergeCell ref="W83:AA83"/>
    <mergeCell ref="A84:C84"/>
    <mergeCell ref="D84:M84"/>
    <mergeCell ref="N84:P84"/>
    <mergeCell ref="Q84:S84"/>
    <mergeCell ref="T84:V84"/>
    <mergeCell ref="W84:AA84"/>
    <mergeCell ref="A85:C85"/>
    <mergeCell ref="D85:M85"/>
    <mergeCell ref="N85:P85"/>
    <mergeCell ref="Q85:S85"/>
    <mergeCell ref="T85:V85"/>
    <mergeCell ref="W85:AA85"/>
    <mergeCell ref="A86:C86"/>
    <mergeCell ref="D86:M86"/>
    <mergeCell ref="N86:P86"/>
    <mergeCell ref="Q86:S86"/>
    <mergeCell ref="T86:V86"/>
    <mergeCell ref="W86:AA86"/>
    <mergeCell ref="A87:C87"/>
    <mergeCell ref="D87:M87"/>
    <mergeCell ref="N87:P87"/>
    <mergeCell ref="Q87:S87"/>
    <mergeCell ref="T87:V87"/>
    <mergeCell ref="W87:AA87"/>
    <mergeCell ref="A88:C88"/>
    <mergeCell ref="D88:M88"/>
    <mergeCell ref="N88:P88"/>
    <mergeCell ref="Q88:S88"/>
    <mergeCell ref="T88:V88"/>
    <mergeCell ref="W88:AA88"/>
    <mergeCell ref="A89:C89"/>
    <mergeCell ref="D89:M89"/>
    <mergeCell ref="N89:P89"/>
    <mergeCell ref="Q89:S89"/>
    <mergeCell ref="T89:V89"/>
    <mergeCell ref="W89:AA89"/>
    <mergeCell ref="A91:C91"/>
    <mergeCell ref="D91:M91"/>
    <mergeCell ref="N91:P91"/>
    <mergeCell ref="Q91:S91"/>
    <mergeCell ref="T91:V91"/>
    <mergeCell ref="W91:AA91"/>
    <mergeCell ref="A90:C90"/>
    <mergeCell ref="D90:M90"/>
    <mergeCell ref="N90:P90"/>
    <mergeCell ref="Q90:S90"/>
    <mergeCell ref="T90:V90"/>
    <mergeCell ref="W90:AA90"/>
    <mergeCell ref="A92:C92"/>
    <mergeCell ref="D92:M92"/>
    <mergeCell ref="N92:P92"/>
    <mergeCell ref="Q92:S92"/>
    <mergeCell ref="T92:V92"/>
    <mergeCell ref="W92:AA92"/>
    <mergeCell ref="A93:C93"/>
    <mergeCell ref="D93:M93"/>
    <mergeCell ref="N93:P93"/>
    <mergeCell ref="Q93:S93"/>
    <mergeCell ref="T93:V93"/>
    <mergeCell ref="W93:AA93"/>
    <mergeCell ref="A94:C94"/>
    <mergeCell ref="D94:M94"/>
    <mergeCell ref="N94:P94"/>
    <mergeCell ref="Q94:S94"/>
    <mergeCell ref="T94:V94"/>
    <mergeCell ref="W94:AA94"/>
    <mergeCell ref="A95:C95"/>
    <mergeCell ref="D95:M95"/>
    <mergeCell ref="N95:P95"/>
    <mergeCell ref="Q95:S95"/>
    <mergeCell ref="T95:V95"/>
    <mergeCell ref="W95:AA95"/>
    <mergeCell ref="A97:C97"/>
    <mergeCell ref="D97:M97"/>
    <mergeCell ref="N97:P97"/>
    <mergeCell ref="Q97:S97"/>
    <mergeCell ref="T97:V97"/>
    <mergeCell ref="W97:AA97"/>
    <mergeCell ref="A96:C96"/>
    <mergeCell ref="D96:M96"/>
    <mergeCell ref="N96:P96"/>
    <mergeCell ref="Q96:S96"/>
    <mergeCell ref="T96:V96"/>
    <mergeCell ref="W96:AA96"/>
  </mergeCells>
  <pageMargins left="0.7" right="0.32" top="0.3" bottom="0.28000000000000003" header="0.3" footer="0.3"/>
  <pageSetup paperSize="9" scale="58" orientation="portrait" verticalDpi="200" r:id="rId3"/>
  <rowBreaks count="1" manualBreakCount="1">
    <brk id="62" max="26" man="1"/>
  </rowBrea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C87"/>
  <sheetViews>
    <sheetView zoomScaleNormal="100" zoomScaleSheetLayoutView="85" workbookViewId="0">
      <selection activeCell="T25" sqref="T25:W25"/>
    </sheetView>
  </sheetViews>
  <sheetFormatPr defaultRowHeight="14.4"/>
  <cols>
    <col min="1" max="7" width="3.88671875" customWidth="1"/>
    <col min="8" max="8" width="4.109375" customWidth="1"/>
    <col min="9" max="10" width="2.88671875" customWidth="1"/>
    <col min="11" max="11" width="3.5546875" customWidth="1"/>
    <col min="12" max="19" width="3.44140625" customWidth="1"/>
    <col min="20" max="23" width="3.109375" customWidth="1"/>
    <col min="24" max="26" width="2.88671875" customWidth="1"/>
    <col min="27" max="27" width="6" customWidth="1"/>
    <col min="28" max="28" width="10.88671875" bestFit="1" customWidth="1"/>
  </cols>
  <sheetData>
    <row r="1" spans="1:28" ht="15" customHeight="1" thickTop="1">
      <c r="A1" s="615"/>
      <c r="B1" s="616"/>
      <c r="C1" s="616"/>
      <c r="D1" s="616"/>
      <c r="E1" s="553" t="s">
        <v>16</v>
      </c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553"/>
      <c r="X1" s="617" t="s">
        <v>20</v>
      </c>
      <c r="Y1" s="617"/>
      <c r="Z1" s="617"/>
      <c r="AA1" s="18">
        <v>2</v>
      </c>
    </row>
    <row r="2" spans="1:28" ht="15" customHeight="1">
      <c r="A2" s="430"/>
      <c r="B2" s="431"/>
      <c r="C2" s="431"/>
      <c r="D2" s="431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6"/>
      <c r="P2" s="606"/>
      <c r="Q2" s="606"/>
      <c r="R2" s="606"/>
      <c r="S2" s="606"/>
      <c r="T2" s="606"/>
      <c r="U2" s="606"/>
      <c r="V2" s="606"/>
      <c r="W2" s="606"/>
      <c r="AA2" s="19"/>
    </row>
    <row r="3" spans="1:28" ht="15" customHeight="1">
      <c r="A3" s="430"/>
      <c r="B3" s="431"/>
      <c r="C3" s="431"/>
      <c r="D3" s="431"/>
      <c r="E3" s="606"/>
      <c r="F3" s="618"/>
      <c r="G3" s="618"/>
      <c r="H3" s="618"/>
      <c r="I3" s="618"/>
      <c r="J3" s="618"/>
      <c r="K3" s="618"/>
      <c r="L3" s="618"/>
      <c r="M3" s="618"/>
      <c r="N3" s="618"/>
      <c r="O3" s="618"/>
      <c r="P3" s="618"/>
      <c r="Q3" s="618"/>
      <c r="R3" s="618"/>
      <c r="S3" s="618"/>
      <c r="T3" s="618"/>
      <c r="U3" s="618"/>
      <c r="V3" s="618"/>
      <c r="W3" s="618"/>
      <c r="AA3" s="19"/>
    </row>
    <row r="4" spans="1:28" ht="23.25" customHeight="1">
      <c r="A4" s="605" t="s">
        <v>21</v>
      </c>
      <c r="B4" s="606"/>
      <c r="C4" s="606"/>
      <c r="D4" s="606"/>
      <c r="E4" s="607" t="str">
        <f>Bilgiler!D2</f>
        <v>İl Geneli Mobil Okuma Cihazı Kullanarak On-Line ve Off-Line Sayaç Endeks Tespiti, Fatura Dağıtımı,Sayaç Mühürlenmesi, Sayaç Sökme-Takma, Su Kapama veya Su Açma, Sayaç Alımı ve Kaçak Tespiti Hizmeti</v>
      </c>
      <c r="F4" s="607"/>
      <c r="G4" s="607"/>
      <c r="H4" s="607"/>
      <c r="I4" s="607"/>
      <c r="J4" s="607"/>
      <c r="K4" s="607"/>
      <c r="L4" s="607"/>
      <c r="M4" s="607"/>
      <c r="N4" s="607"/>
      <c r="O4" s="607"/>
      <c r="P4" s="607"/>
      <c r="Q4" s="607"/>
      <c r="R4" s="607"/>
      <c r="S4" s="607"/>
      <c r="T4" s="607"/>
      <c r="U4" s="607"/>
      <c r="V4" s="607"/>
      <c r="W4" s="607"/>
      <c r="X4" s="607"/>
      <c r="Y4" s="607"/>
      <c r="Z4" s="607"/>
      <c r="AA4" s="608"/>
    </row>
    <row r="5" spans="1:28" ht="12" customHeight="1">
      <c r="A5" s="609" t="s">
        <v>72</v>
      </c>
      <c r="B5" s="610"/>
      <c r="C5" s="610"/>
      <c r="D5" s="610"/>
      <c r="E5" s="610"/>
      <c r="F5" s="610"/>
      <c r="G5" s="610"/>
      <c r="H5" s="610"/>
      <c r="I5" s="610"/>
      <c r="J5" s="610"/>
      <c r="K5" s="611"/>
      <c r="L5" s="612" t="s">
        <v>71</v>
      </c>
      <c r="M5" s="610"/>
      <c r="N5" s="610"/>
      <c r="O5" s="610"/>
      <c r="P5" s="610"/>
      <c r="Q5" s="610"/>
      <c r="R5" s="610"/>
      <c r="S5" s="610"/>
      <c r="T5" s="613"/>
      <c r="U5" s="613"/>
      <c r="V5" s="613"/>
      <c r="W5" s="613"/>
      <c r="X5" s="613"/>
      <c r="Y5" s="613"/>
      <c r="Z5" s="613"/>
      <c r="AA5" s="614"/>
    </row>
    <row r="6" spans="1:28" ht="12" customHeight="1">
      <c r="A6" s="599" t="s">
        <v>181</v>
      </c>
      <c r="B6" s="600"/>
      <c r="C6" s="600"/>
      <c r="D6" s="600"/>
      <c r="E6" s="600"/>
      <c r="F6" s="600"/>
      <c r="G6" s="600"/>
      <c r="H6" s="600"/>
      <c r="I6" s="601">
        <f>'İş Takip-Ön Yüz'!G14</f>
        <v>114950000</v>
      </c>
      <c r="J6" s="602"/>
      <c r="K6" s="602"/>
      <c r="L6" s="602"/>
      <c r="M6" s="602"/>
      <c r="N6" s="602"/>
      <c r="O6" s="602"/>
      <c r="P6" s="602"/>
      <c r="Q6" s="602"/>
      <c r="R6" s="602"/>
      <c r="S6" s="602"/>
      <c r="T6" s="602"/>
      <c r="U6" s="602"/>
      <c r="V6" s="602"/>
      <c r="W6" s="602"/>
      <c r="X6" s="602"/>
      <c r="Y6" s="602"/>
      <c r="Z6" s="602"/>
      <c r="AA6" s="603"/>
    </row>
    <row r="7" spans="1:28" ht="12" customHeight="1">
      <c r="A7" s="604"/>
      <c r="B7" s="602"/>
      <c r="C7" s="602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  <c r="P7" s="602"/>
      <c r="Q7" s="602"/>
      <c r="R7" s="602"/>
      <c r="S7" s="602"/>
      <c r="T7" s="602"/>
      <c r="U7" s="602"/>
      <c r="V7" s="602"/>
      <c r="W7" s="602"/>
      <c r="X7" s="602"/>
      <c r="Y7" s="602"/>
      <c r="Z7" s="602"/>
      <c r="AA7" s="603"/>
    </row>
    <row r="8" spans="1:28" ht="12" customHeight="1">
      <c r="A8" s="593"/>
      <c r="B8" s="594"/>
      <c r="C8" s="594"/>
      <c r="D8" s="594"/>
      <c r="E8" s="594"/>
      <c r="F8" s="594"/>
      <c r="G8" s="594"/>
      <c r="H8" s="594"/>
      <c r="I8" s="594"/>
      <c r="J8" s="594"/>
      <c r="K8" s="594"/>
      <c r="L8" s="594"/>
      <c r="M8" s="594"/>
      <c r="N8" s="594"/>
      <c r="O8" s="594"/>
      <c r="P8" s="594"/>
      <c r="Q8" s="594"/>
      <c r="R8" s="594"/>
      <c r="S8" s="594"/>
      <c r="T8" s="594"/>
      <c r="U8" s="594"/>
      <c r="V8" s="594"/>
      <c r="W8" s="594"/>
      <c r="X8" s="594"/>
      <c r="Y8" s="594"/>
      <c r="Z8" s="594"/>
      <c r="AA8" s="595"/>
    </row>
    <row r="9" spans="1:28" ht="12" customHeight="1">
      <c r="A9" s="596" t="s">
        <v>198</v>
      </c>
      <c r="B9" s="578"/>
      <c r="C9" s="578"/>
      <c r="D9" s="578"/>
      <c r="E9" s="578"/>
      <c r="F9" s="578"/>
      <c r="G9" s="578"/>
      <c r="H9" s="578"/>
      <c r="I9" s="578"/>
      <c r="J9" s="578"/>
      <c r="K9" s="578"/>
      <c r="L9" s="578"/>
      <c r="M9" s="578"/>
      <c r="N9" s="578"/>
      <c r="O9" s="578"/>
      <c r="P9" s="578"/>
      <c r="Q9" s="578"/>
      <c r="R9" s="578"/>
      <c r="S9" s="578"/>
      <c r="T9" s="578"/>
      <c r="U9" s="578"/>
      <c r="V9" s="578"/>
      <c r="W9" s="578"/>
      <c r="X9" s="578"/>
      <c r="Y9" s="578"/>
      <c r="Z9" s="578"/>
      <c r="AA9" s="597"/>
    </row>
    <row r="10" spans="1:28" ht="12" customHeight="1">
      <c r="A10" s="596" t="s">
        <v>73</v>
      </c>
      <c r="B10" s="578"/>
      <c r="C10" s="578"/>
      <c r="D10" s="578"/>
      <c r="E10" s="578"/>
      <c r="F10" s="578"/>
      <c r="G10" s="578"/>
      <c r="H10" s="598">
        <v>2025</v>
      </c>
      <c r="I10" s="598"/>
      <c r="J10" s="598"/>
      <c r="K10" s="598"/>
      <c r="L10" s="578">
        <v>2026</v>
      </c>
      <c r="M10" s="578"/>
      <c r="N10" s="578"/>
      <c r="O10" s="578"/>
      <c r="P10" s="528"/>
      <c r="Q10" s="528"/>
      <c r="R10" s="528"/>
      <c r="S10" s="528"/>
      <c r="T10" s="528"/>
      <c r="U10" s="528"/>
      <c r="V10" s="528"/>
      <c r="W10" s="528"/>
      <c r="X10" s="528"/>
      <c r="Y10" s="528"/>
      <c r="Z10" s="528"/>
      <c r="AA10" s="529"/>
    </row>
    <row r="11" spans="1:28" ht="12" customHeight="1">
      <c r="A11" s="590" t="s">
        <v>74</v>
      </c>
      <c r="B11" s="591"/>
      <c r="C11" s="591"/>
      <c r="D11" s="591"/>
      <c r="E11" s="591"/>
      <c r="F11" s="591"/>
      <c r="G11" s="591"/>
      <c r="H11" s="545">
        <f>'İş Takip-Ön Yüz'!G14</f>
        <v>114950000</v>
      </c>
      <c r="I11" s="528"/>
      <c r="J11" s="528"/>
      <c r="K11" s="528"/>
      <c r="L11" s="528"/>
      <c r="M11" s="528"/>
      <c r="N11" s="528"/>
      <c r="O11" s="528"/>
      <c r="P11" s="528"/>
      <c r="Q11" s="528"/>
      <c r="R11" s="528"/>
      <c r="S11" s="528"/>
      <c r="T11" s="528"/>
      <c r="U11" s="528"/>
      <c r="V11" s="528"/>
      <c r="W11" s="528"/>
      <c r="X11" s="528"/>
      <c r="Y11" s="528"/>
      <c r="Z11" s="528"/>
      <c r="AA11" s="529"/>
    </row>
    <row r="12" spans="1:28" ht="12" customHeight="1">
      <c r="A12" s="590" t="s">
        <v>75</v>
      </c>
      <c r="B12" s="591"/>
      <c r="C12" s="591"/>
      <c r="D12" s="591"/>
      <c r="E12" s="591"/>
      <c r="F12" s="591"/>
      <c r="G12" s="591"/>
      <c r="H12" s="545">
        <f>'Arka Kapak'!D4</f>
        <v>21849240</v>
      </c>
      <c r="I12" s="545"/>
      <c r="J12" s="545"/>
      <c r="K12" s="545"/>
      <c r="L12" s="528"/>
      <c r="M12" s="528"/>
      <c r="N12" s="528"/>
      <c r="O12" s="528"/>
      <c r="P12" s="528"/>
      <c r="Q12" s="528"/>
      <c r="R12" s="528"/>
      <c r="S12" s="528"/>
      <c r="T12" s="528"/>
      <c r="U12" s="528"/>
      <c r="V12" s="528"/>
      <c r="W12" s="528"/>
      <c r="X12" s="528"/>
      <c r="Y12" s="528"/>
      <c r="Z12" s="528"/>
      <c r="AA12" s="529"/>
    </row>
    <row r="13" spans="1:28" ht="12" customHeight="1">
      <c r="A13" s="590" t="s">
        <v>76</v>
      </c>
      <c r="B13" s="591"/>
      <c r="C13" s="591"/>
      <c r="D13" s="591"/>
      <c r="E13" s="591"/>
      <c r="F13" s="591"/>
      <c r="G13" s="591"/>
      <c r="H13" s="592">
        <f>H12/H11</f>
        <v>0.19009999999999999</v>
      </c>
      <c r="I13" s="592"/>
      <c r="J13" s="592"/>
      <c r="K13" s="592"/>
      <c r="L13" s="528"/>
      <c r="M13" s="528"/>
      <c r="N13" s="528"/>
      <c r="O13" s="528"/>
      <c r="P13" s="528"/>
      <c r="Q13" s="528"/>
      <c r="R13" s="528"/>
      <c r="S13" s="528"/>
      <c r="T13" s="528"/>
      <c r="U13" s="528"/>
      <c r="V13" s="528"/>
      <c r="W13" s="528"/>
      <c r="X13" s="528"/>
      <c r="Y13" s="528"/>
      <c r="Z13" s="528"/>
      <c r="AA13" s="529"/>
    </row>
    <row r="14" spans="1:28" ht="24" customHeight="1">
      <c r="A14" s="586" t="s">
        <v>81</v>
      </c>
      <c r="B14" s="587"/>
      <c r="C14" s="587"/>
      <c r="D14" s="587"/>
      <c r="E14" s="587"/>
      <c r="F14" s="587"/>
      <c r="G14" s="587"/>
      <c r="H14" s="587"/>
      <c r="I14" s="587"/>
      <c r="J14" s="587"/>
      <c r="K14" s="587"/>
      <c r="L14" s="588" t="s">
        <v>77</v>
      </c>
      <c r="M14" s="588"/>
      <c r="N14" s="588"/>
      <c r="O14" s="588"/>
      <c r="P14" s="588" t="s">
        <v>78</v>
      </c>
      <c r="Q14" s="588"/>
      <c r="R14" s="588"/>
      <c r="S14" s="588"/>
      <c r="T14" s="587" t="s">
        <v>79</v>
      </c>
      <c r="U14" s="587"/>
      <c r="V14" s="587"/>
      <c r="W14" s="587"/>
      <c r="X14" s="587" t="s">
        <v>80</v>
      </c>
      <c r="Y14" s="587"/>
      <c r="Z14" s="587"/>
      <c r="AA14" s="589"/>
      <c r="AB14" s="21"/>
    </row>
    <row r="15" spans="1:28" ht="24" customHeight="1">
      <c r="A15" s="581" t="str">
        <f>BFTC!C5</f>
        <v>Sayaç Endekslerinin Okunması, Mobil Okuma Cihazı İle Tespiti ve Makbuz Dağıtılması İşlemi</v>
      </c>
      <c r="B15" s="582"/>
      <c r="C15" s="582"/>
      <c r="D15" s="582"/>
      <c r="E15" s="582"/>
      <c r="F15" s="582"/>
      <c r="G15" s="582"/>
      <c r="H15" s="582"/>
      <c r="I15" s="582"/>
      <c r="J15" s="582"/>
      <c r="K15" s="583"/>
      <c r="L15" s="245">
        <f>BFTC!E5</f>
        <v>1000000</v>
      </c>
      <c r="M15" s="246"/>
      <c r="N15" s="246"/>
      <c r="O15" s="246"/>
      <c r="P15" s="245">
        <f>L15</f>
        <v>1000000</v>
      </c>
      <c r="Q15" s="246"/>
      <c r="R15" s="246"/>
      <c r="S15" s="246"/>
      <c r="T15" s="245">
        <f>Çarşaf!AJ14</f>
        <v>0</v>
      </c>
      <c r="U15" s="246"/>
      <c r="V15" s="246"/>
      <c r="W15" s="246"/>
      <c r="X15" s="245">
        <f>L15-T15</f>
        <v>1000000</v>
      </c>
      <c r="Y15" s="246"/>
      <c r="Z15" s="246"/>
      <c r="AA15" s="585"/>
      <c r="AB15" s="21"/>
    </row>
    <row r="16" spans="1:28" ht="24" customHeight="1">
      <c r="A16" s="581" t="str">
        <f>BFTC!C6</f>
        <v>Sayaç Endekslerinin Yerinde Yapılan Kontrollerde Tespit Edilememesi (kıyas okuma veya evde yok okuma) İşlemi</v>
      </c>
      <c r="B16" s="582"/>
      <c r="C16" s="582"/>
      <c r="D16" s="582"/>
      <c r="E16" s="582"/>
      <c r="F16" s="582"/>
      <c r="G16" s="582"/>
      <c r="H16" s="582"/>
      <c r="I16" s="582"/>
      <c r="J16" s="582"/>
      <c r="K16" s="583"/>
      <c r="L16" s="245">
        <f>BFTC!E6</f>
        <v>50000</v>
      </c>
      <c r="M16" s="246"/>
      <c r="N16" s="246"/>
      <c r="O16" s="246"/>
      <c r="P16" s="245">
        <f t="shared" ref="P16:P21" si="0">L16</f>
        <v>50000</v>
      </c>
      <c r="Q16" s="246"/>
      <c r="R16" s="246"/>
      <c r="S16" s="246"/>
      <c r="T16" s="245">
        <f>Çarşaf!AJ15</f>
        <v>0</v>
      </c>
      <c r="U16" s="246"/>
      <c r="V16" s="246"/>
      <c r="W16" s="246"/>
      <c r="X16" s="245">
        <f t="shared" ref="X16:X21" si="1">L16-T16</f>
        <v>50000</v>
      </c>
      <c r="Y16" s="246"/>
      <c r="Z16" s="246"/>
      <c r="AA16" s="585"/>
      <c r="AB16" s="21"/>
    </row>
    <row r="17" spans="1:28" ht="24" customHeight="1">
      <c r="A17" s="581" t="str">
        <f>BFTC!C7</f>
        <v>Mühürsüz Sayaçların Mühürlemesi</v>
      </c>
      <c r="B17" s="582"/>
      <c r="C17" s="582"/>
      <c r="D17" s="582"/>
      <c r="E17" s="582"/>
      <c r="F17" s="582"/>
      <c r="G17" s="582"/>
      <c r="H17" s="582"/>
      <c r="I17" s="582"/>
      <c r="J17" s="582"/>
      <c r="K17" s="583"/>
      <c r="L17" s="245">
        <f>BFTC!E7</f>
        <v>20000</v>
      </c>
      <c r="M17" s="246"/>
      <c r="N17" s="246"/>
      <c r="O17" s="246"/>
      <c r="P17" s="245">
        <f t="shared" si="0"/>
        <v>20000</v>
      </c>
      <c r="Q17" s="246"/>
      <c r="R17" s="246"/>
      <c r="S17" s="246"/>
      <c r="T17" s="245">
        <f>Çarşaf!AJ16</f>
        <v>0</v>
      </c>
      <c r="U17" s="246"/>
      <c r="V17" s="246"/>
      <c r="W17" s="246"/>
      <c r="X17" s="245">
        <f t="shared" si="1"/>
        <v>20000</v>
      </c>
      <c r="Y17" s="246"/>
      <c r="Z17" s="246"/>
      <c r="AA17" s="585"/>
      <c r="AB17" s="21"/>
    </row>
    <row r="18" spans="1:28" ht="24" customHeight="1">
      <c r="A18" s="581" t="str">
        <f>BFTC!C8</f>
        <v>Sayaç Sökme ve Sayaç Takma</v>
      </c>
      <c r="B18" s="582"/>
      <c r="C18" s="582"/>
      <c r="D18" s="582"/>
      <c r="E18" s="582"/>
      <c r="F18" s="582"/>
      <c r="G18" s="582"/>
      <c r="H18" s="582"/>
      <c r="I18" s="582"/>
      <c r="J18" s="582"/>
      <c r="K18" s="583"/>
      <c r="L18" s="245">
        <f>BFTC!E8</f>
        <v>40000</v>
      </c>
      <c r="M18" s="246"/>
      <c r="N18" s="246"/>
      <c r="O18" s="246"/>
      <c r="P18" s="245">
        <f t="shared" si="0"/>
        <v>40000</v>
      </c>
      <c r="Q18" s="246"/>
      <c r="R18" s="246"/>
      <c r="S18" s="246"/>
      <c r="T18" s="245">
        <f>Çarşaf!AJ17</f>
        <v>0</v>
      </c>
      <c r="U18" s="246"/>
      <c r="V18" s="246"/>
      <c r="W18" s="246"/>
      <c r="X18" s="245">
        <f t="shared" si="1"/>
        <v>40000</v>
      </c>
      <c r="Y18" s="246"/>
      <c r="Z18" s="246"/>
      <c r="AA18" s="585"/>
      <c r="AB18" s="21"/>
    </row>
    <row r="19" spans="1:28" ht="24" customHeight="1">
      <c r="A19" s="581" t="str">
        <f>BFTC!C9</f>
        <v>Su Kapama veya Su Açma</v>
      </c>
      <c r="B19" s="582"/>
      <c r="C19" s="582"/>
      <c r="D19" s="582"/>
      <c r="E19" s="582"/>
      <c r="F19" s="582"/>
      <c r="G19" s="582"/>
      <c r="H19" s="582"/>
      <c r="I19" s="582"/>
      <c r="J19" s="582"/>
      <c r="K19" s="583"/>
      <c r="L19" s="245">
        <f>BFTC!E9</f>
        <v>140000</v>
      </c>
      <c r="M19" s="246"/>
      <c r="N19" s="246"/>
      <c r="O19" s="246"/>
      <c r="P19" s="245">
        <f t="shared" si="0"/>
        <v>140000</v>
      </c>
      <c r="Q19" s="246"/>
      <c r="R19" s="246"/>
      <c r="S19" s="246"/>
      <c r="T19" s="245">
        <f>Çarşaf!AJ18</f>
        <v>0</v>
      </c>
      <c r="U19" s="246"/>
      <c r="V19" s="246"/>
      <c r="W19" s="246"/>
      <c r="X19" s="245">
        <f t="shared" si="1"/>
        <v>140000</v>
      </c>
      <c r="Y19" s="246"/>
      <c r="Z19" s="246"/>
      <c r="AA19" s="585"/>
    </row>
    <row r="20" spans="1:28" ht="24" customHeight="1">
      <c r="A20" s="581" t="str">
        <f>BFTC!C10</f>
        <v>Sayaç Alımı (Teknik Şartnamede Özellikleri Belirtilen) DN20 190 MM</v>
      </c>
      <c r="B20" s="582"/>
      <c r="C20" s="582"/>
      <c r="D20" s="582"/>
      <c r="E20" s="582"/>
      <c r="F20" s="582"/>
      <c r="G20" s="582"/>
      <c r="H20" s="582"/>
      <c r="I20" s="582"/>
      <c r="J20" s="582"/>
      <c r="K20" s="583"/>
      <c r="L20" s="245">
        <f>BFTC!E10</f>
        <v>15000</v>
      </c>
      <c r="M20" s="246"/>
      <c r="N20" s="246"/>
      <c r="O20" s="246"/>
      <c r="P20" s="245">
        <f t="shared" si="0"/>
        <v>15000</v>
      </c>
      <c r="Q20" s="246"/>
      <c r="R20" s="246"/>
      <c r="S20" s="246"/>
      <c r="T20" s="245">
        <f>Çarşaf!AJ19</f>
        <v>0</v>
      </c>
      <c r="U20" s="246"/>
      <c r="V20" s="246"/>
      <c r="W20" s="246"/>
      <c r="X20" s="245">
        <f t="shared" si="1"/>
        <v>15000</v>
      </c>
      <c r="Y20" s="246"/>
      <c r="Z20" s="246"/>
      <c r="AA20" s="585"/>
    </row>
    <row r="21" spans="1:28" ht="24" customHeight="1">
      <c r="A21" s="581" t="str">
        <f>BFTC!C11</f>
        <v>İçme Suyu Hatlarında Sayaçlı Abonesiz, Sayaçsız ve Kaçak Kullanımın Tespit Edilmesi ve Raporlanması</v>
      </c>
      <c r="B21" s="582"/>
      <c r="C21" s="582"/>
      <c r="D21" s="582"/>
      <c r="E21" s="582"/>
      <c r="F21" s="582"/>
      <c r="G21" s="582"/>
      <c r="H21" s="582"/>
      <c r="I21" s="582"/>
      <c r="J21" s="582"/>
      <c r="K21" s="583"/>
      <c r="L21" s="245">
        <f>BFTC!E11</f>
        <v>7500</v>
      </c>
      <c r="M21" s="246"/>
      <c r="N21" s="246"/>
      <c r="O21" s="246"/>
      <c r="P21" s="245">
        <f t="shared" si="0"/>
        <v>7500</v>
      </c>
      <c r="Q21" s="246"/>
      <c r="R21" s="246"/>
      <c r="S21" s="246"/>
      <c r="T21" s="245">
        <f>Çarşaf!AJ20</f>
        <v>0</v>
      </c>
      <c r="U21" s="246"/>
      <c r="V21" s="246"/>
      <c r="W21" s="246"/>
      <c r="X21" s="245">
        <f t="shared" si="1"/>
        <v>7500</v>
      </c>
      <c r="Y21" s="246"/>
      <c r="Z21" s="246"/>
      <c r="AA21" s="585"/>
    </row>
    <row r="22" spans="1:28" ht="24" customHeight="1">
      <c r="A22" s="581"/>
      <c r="B22" s="582"/>
      <c r="C22" s="582"/>
      <c r="D22" s="582"/>
      <c r="E22" s="582"/>
      <c r="F22" s="582"/>
      <c r="G22" s="582"/>
      <c r="H22" s="582"/>
      <c r="I22" s="582"/>
      <c r="J22" s="582"/>
      <c r="K22" s="583"/>
      <c r="L22" s="418"/>
      <c r="M22" s="153"/>
      <c r="N22" s="153"/>
      <c r="O22" s="153"/>
      <c r="P22" s="418"/>
      <c r="Q22" s="153"/>
      <c r="R22" s="153"/>
      <c r="S22" s="153"/>
      <c r="T22" s="418"/>
      <c r="U22" s="153"/>
      <c r="V22" s="153"/>
      <c r="W22" s="153"/>
      <c r="X22" s="418"/>
      <c r="Y22" s="153"/>
      <c r="Z22" s="153"/>
      <c r="AA22" s="584"/>
    </row>
    <row r="23" spans="1:28" ht="24" customHeight="1">
      <c r="A23" s="581"/>
      <c r="B23" s="582"/>
      <c r="C23" s="582"/>
      <c r="D23" s="582"/>
      <c r="E23" s="582"/>
      <c r="F23" s="582"/>
      <c r="G23" s="582"/>
      <c r="H23" s="582"/>
      <c r="I23" s="582"/>
      <c r="J23" s="582"/>
      <c r="K23" s="583"/>
      <c r="L23" s="418"/>
      <c r="M23" s="153"/>
      <c r="N23" s="153"/>
      <c r="O23" s="153"/>
      <c r="P23" s="418"/>
      <c r="Q23" s="153"/>
      <c r="R23" s="153"/>
      <c r="S23" s="153"/>
      <c r="T23" s="418"/>
      <c r="U23" s="153"/>
      <c r="V23" s="153"/>
      <c r="W23" s="153"/>
      <c r="X23" s="418"/>
      <c r="Y23" s="153"/>
      <c r="Z23" s="153"/>
      <c r="AA23" s="584"/>
    </row>
    <row r="24" spans="1:28" ht="24" customHeight="1">
      <c r="A24" s="581"/>
      <c r="B24" s="582"/>
      <c r="C24" s="582"/>
      <c r="D24" s="582"/>
      <c r="E24" s="582"/>
      <c r="F24" s="582"/>
      <c r="G24" s="582"/>
      <c r="H24" s="582"/>
      <c r="I24" s="582"/>
      <c r="J24" s="582"/>
      <c r="K24" s="583"/>
      <c r="L24" s="418"/>
      <c r="M24" s="153"/>
      <c r="N24" s="153"/>
      <c r="O24" s="153"/>
      <c r="P24" s="418"/>
      <c r="Q24" s="153"/>
      <c r="R24" s="153"/>
      <c r="S24" s="153"/>
      <c r="T24" s="418"/>
      <c r="U24" s="153"/>
      <c r="V24" s="153"/>
      <c r="W24" s="153"/>
      <c r="X24" s="418"/>
      <c r="Y24" s="153"/>
      <c r="Z24" s="153"/>
      <c r="AA24" s="584"/>
    </row>
    <row r="25" spans="1:28" ht="24" customHeight="1">
      <c r="A25" s="581"/>
      <c r="B25" s="582"/>
      <c r="C25" s="582"/>
      <c r="D25" s="582"/>
      <c r="E25" s="582"/>
      <c r="F25" s="582"/>
      <c r="G25" s="582"/>
      <c r="H25" s="582"/>
      <c r="I25" s="582"/>
      <c r="J25" s="582"/>
      <c r="K25" s="583"/>
      <c r="L25" s="418"/>
      <c r="M25" s="153"/>
      <c r="N25" s="153"/>
      <c r="O25" s="153"/>
      <c r="P25" s="418"/>
      <c r="Q25" s="153"/>
      <c r="R25" s="153"/>
      <c r="S25" s="153"/>
      <c r="T25" s="418"/>
      <c r="U25" s="153"/>
      <c r="V25" s="153"/>
      <c r="W25" s="153"/>
      <c r="X25" s="418"/>
      <c r="Y25" s="153"/>
      <c r="Z25" s="153"/>
      <c r="AA25" s="584"/>
    </row>
    <row r="26" spans="1:28" ht="24" customHeight="1">
      <c r="A26" s="581"/>
      <c r="B26" s="582"/>
      <c r="C26" s="582"/>
      <c r="D26" s="582"/>
      <c r="E26" s="582"/>
      <c r="F26" s="582"/>
      <c r="G26" s="582"/>
      <c r="H26" s="582"/>
      <c r="I26" s="582"/>
      <c r="J26" s="582"/>
      <c r="K26" s="583"/>
      <c r="L26" s="418"/>
      <c r="M26" s="153"/>
      <c r="N26" s="153"/>
      <c r="O26" s="153"/>
      <c r="P26" s="418"/>
      <c r="Q26" s="153"/>
      <c r="R26" s="153"/>
      <c r="S26" s="153"/>
      <c r="T26" s="418"/>
      <c r="U26" s="153"/>
      <c r="V26" s="153"/>
      <c r="W26" s="153"/>
      <c r="X26" s="418"/>
      <c r="Y26" s="153"/>
      <c r="Z26" s="153"/>
      <c r="AA26" s="584"/>
    </row>
    <row r="27" spans="1:28" ht="24" customHeight="1">
      <c r="A27" s="581"/>
      <c r="B27" s="582"/>
      <c r="C27" s="582"/>
      <c r="D27" s="582"/>
      <c r="E27" s="582"/>
      <c r="F27" s="582"/>
      <c r="G27" s="582"/>
      <c r="H27" s="582"/>
      <c r="I27" s="582"/>
      <c r="J27" s="582"/>
      <c r="K27" s="583"/>
      <c r="L27" s="418"/>
      <c r="M27" s="153"/>
      <c r="N27" s="153"/>
      <c r="O27" s="153"/>
      <c r="P27" s="418"/>
      <c r="Q27" s="153"/>
      <c r="R27" s="153"/>
      <c r="S27" s="153"/>
      <c r="T27" s="418"/>
      <c r="U27" s="153"/>
      <c r="V27" s="153"/>
      <c r="W27" s="153"/>
      <c r="X27" s="418"/>
      <c r="Y27" s="153"/>
      <c r="Z27" s="153"/>
      <c r="AA27" s="584"/>
    </row>
    <row r="28" spans="1:28" ht="24" customHeight="1">
      <c r="A28" s="581"/>
      <c r="B28" s="582"/>
      <c r="C28" s="582"/>
      <c r="D28" s="582"/>
      <c r="E28" s="582"/>
      <c r="F28" s="582"/>
      <c r="G28" s="582"/>
      <c r="H28" s="582"/>
      <c r="I28" s="582"/>
      <c r="J28" s="582"/>
      <c r="K28" s="583"/>
      <c r="L28" s="418"/>
      <c r="M28" s="153"/>
      <c r="N28" s="153"/>
      <c r="O28" s="153"/>
      <c r="P28" s="418"/>
      <c r="Q28" s="153"/>
      <c r="R28" s="153"/>
      <c r="S28" s="153"/>
      <c r="T28" s="418"/>
      <c r="U28" s="153"/>
      <c r="V28" s="153"/>
      <c r="W28" s="153"/>
      <c r="X28" s="418"/>
      <c r="Y28" s="153"/>
      <c r="Z28" s="153"/>
      <c r="AA28" s="584"/>
    </row>
    <row r="29" spans="1:28" ht="24" customHeight="1">
      <c r="A29" s="581"/>
      <c r="B29" s="582"/>
      <c r="C29" s="582"/>
      <c r="D29" s="582"/>
      <c r="E29" s="582"/>
      <c r="F29" s="582"/>
      <c r="G29" s="582"/>
      <c r="H29" s="582"/>
      <c r="I29" s="582"/>
      <c r="J29" s="582"/>
      <c r="K29" s="583"/>
      <c r="L29" s="418"/>
      <c r="M29" s="153"/>
      <c r="N29" s="153"/>
      <c r="O29" s="153"/>
      <c r="P29" s="418"/>
      <c r="Q29" s="153"/>
      <c r="R29" s="153"/>
      <c r="S29" s="153"/>
      <c r="T29" s="418"/>
      <c r="U29" s="153"/>
      <c r="V29" s="153"/>
      <c r="W29" s="153"/>
      <c r="X29" s="418"/>
      <c r="Y29" s="153"/>
      <c r="Z29" s="153"/>
      <c r="AA29" s="584"/>
    </row>
    <row r="30" spans="1:28" ht="24" customHeight="1">
      <c r="A30" s="581"/>
      <c r="B30" s="582"/>
      <c r="C30" s="582"/>
      <c r="D30" s="582"/>
      <c r="E30" s="582"/>
      <c r="F30" s="582"/>
      <c r="G30" s="582"/>
      <c r="H30" s="582"/>
      <c r="I30" s="582"/>
      <c r="J30" s="582"/>
      <c r="K30" s="583"/>
      <c r="L30" s="418"/>
      <c r="M30" s="153"/>
      <c r="N30" s="153"/>
      <c r="O30" s="153"/>
      <c r="P30" s="418"/>
      <c r="Q30" s="153"/>
      <c r="R30" s="153"/>
      <c r="S30" s="153"/>
      <c r="T30" s="418"/>
      <c r="U30" s="153"/>
      <c r="V30" s="153"/>
      <c r="W30" s="153"/>
      <c r="X30" s="418"/>
      <c r="Y30" s="153"/>
      <c r="Z30" s="153"/>
      <c r="AA30" s="584"/>
    </row>
    <row r="31" spans="1:28" ht="24" customHeight="1">
      <c r="A31" s="581"/>
      <c r="B31" s="582"/>
      <c r="C31" s="582"/>
      <c r="D31" s="582"/>
      <c r="E31" s="582"/>
      <c r="F31" s="582"/>
      <c r="G31" s="582"/>
      <c r="H31" s="582"/>
      <c r="I31" s="582"/>
      <c r="J31" s="582"/>
      <c r="K31" s="583"/>
      <c r="L31" s="418"/>
      <c r="M31" s="153"/>
      <c r="N31" s="153"/>
      <c r="O31" s="153"/>
      <c r="P31" s="418"/>
      <c r="Q31" s="153"/>
      <c r="R31" s="153"/>
      <c r="S31" s="153"/>
      <c r="T31" s="418"/>
      <c r="U31" s="153"/>
      <c r="V31" s="153"/>
      <c r="W31" s="153"/>
      <c r="X31" s="418"/>
      <c r="Y31" s="153"/>
      <c r="Z31" s="153"/>
      <c r="AA31" s="584"/>
    </row>
    <row r="32" spans="1:28" ht="24" customHeight="1">
      <c r="A32" s="581"/>
      <c r="B32" s="582"/>
      <c r="C32" s="582"/>
      <c r="D32" s="582"/>
      <c r="E32" s="582"/>
      <c r="F32" s="582"/>
      <c r="G32" s="582"/>
      <c r="H32" s="582"/>
      <c r="I32" s="582"/>
      <c r="J32" s="582"/>
      <c r="K32" s="583"/>
      <c r="L32" s="418"/>
      <c r="M32" s="153"/>
      <c r="N32" s="153"/>
      <c r="O32" s="153"/>
      <c r="P32" s="418"/>
      <c r="Q32" s="153"/>
      <c r="R32" s="153"/>
      <c r="S32" s="153"/>
      <c r="T32" s="418"/>
      <c r="U32" s="153"/>
      <c r="V32" s="153"/>
      <c r="W32" s="153"/>
      <c r="X32" s="418"/>
      <c r="Y32" s="153"/>
      <c r="Z32" s="153"/>
      <c r="AA32" s="584"/>
    </row>
    <row r="33" spans="1:27" ht="24" customHeight="1">
      <c r="A33" s="581"/>
      <c r="B33" s="582"/>
      <c r="C33" s="582"/>
      <c r="D33" s="582"/>
      <c r="E33" s="582"/>
      <c r="F33" s="582"/>
      <c r="G33" s="582"/>
      <c r="H33" s="582"/>
      <c r="I33" s="582"/>
      <c r="J33" s="582"/>
      <c r="K33" s="583"/>
      <c r="L33" s="418"/>
      <c r="M33" s="153"/>
      <c r="N33" s="153"/>
      <c r="O33" s="153"/>
      <c r="P33" s="418"/>
      <c r="Q33" s="153"/>
      <c r="R33" s="153"/>
      <c r="S33" s="153"/>
      <c r="T33" s="418"/>
      <c r="U33" s="153"/>
      <c r="V33" s="153"/>
      <c r="W33" s="153"/>
      <c r="X33" s="418"/>
      <c r="Y33" s="153"/>
      <c r="Z33" s="153"/>
      <c r="AA33" s="584"/>
    </row>
    <row r="34" spans="1:27" ht="24" customHeight="1">
      <c r="A34" s="581"/>
      <c r="B34" s="582"/>
      <c r="C34" s="582"/>
      <c r="D34" s="582"/>
      <c r="E34" s="582"/>
      <c r="F34" s="582"/>
      <c r="G34" s="582"/>
      <c r="H34" s="582"/>
      <c r="I34" s="582"/>
      <c r="J34" s="582"/>
      <c r="K34" s="583"/>
      <c r="L34" s="418"/>
      <c r="M34" s="153"/>
      <c r="N34" s="153"/>
      <c r="O34" s="153"/>
      <c r="P34" s="418"/>
      <c r="Q34" s="153"/>
      <c r="R34" s="153"/>
      <c r="S34" s="153"/>
      <c r="T34" s="418"/>
      <c r="U34" s="153"/>
      <c r="V34" s="153"/>
      <c r="W34" s="153"/>
      <c r="X34" s="418"/>
      <c r="Y34" s="153"/>
      <c r="Z34" s="153"/>
      <c r="AA34" s="584"/>
    </row>
    <row r="35" spans="1:27" ht="24" customHeight="1">
      <c r="A35" s="581"/>
      <c r="B35" s="582"/>
      <c r="C35" s="582"/>
      <c r="D35" s="582"/>
      <c r="E35" s="582"/>
      <c r="F35" s="582"/>
      <c r="G35" s="582"/>
      <c r="H35" s="582"/>
      <c r="I35" s="582"/>
      <c r="J35" s="582"/>
      <c r="K35" s="583"/>
      <c r="L35" s="418"/>
      <c r="M35" s="153"/>
      <c r="N35" s="153"/>
      <c r="O35" s="153"/>
      <c r="P35" s="418"/>
      <c r="Q35" s="153"/>
      <c r="R35" s="153"/>
      <c r="S35" s="153"/>
      <c r="T35" s="418"/>
      <c r="U35" s="153"/>
      <c r="V35" s="153"/>
      <c r="W35" s="153"/>
      <c r="X35" s="418"/>
      <c r="Y35" s="153"/>
      <c r="Z35" s="153"/>
      <c r="AA35" s="584"/>
    </row>
    <row r="36" spans="1:27" ht="24" customHeight="1">
      <c r="A36" s="581"/>
      <c r="B36" s="582"/>
      <c r="C36" s="582"/>
      <c r="D36" s="582"/>
      <c r="E36" s="582"/>
      <c r="F36" s="582"/>
      <c r="G36" s="582"/>
      <c r="H36" s="582"/>
      <c r="I36" s="582"/>
      <c r="J36" s="582"/>
      <c r="K36" s="583"/>
      <c r="L36" s="418"/>
      <c r="M36" s="153"/>
      <c r="N36" s="153"/>
      <c r="O36" s="153"/>
      <c r="P36" s="418"/>
      <c r="Q36" s="153"/>
      <c r="R36" s="153"/>
      <c r="S36" s="153"/>
      <c r="T36" s="418"/>
      <c r="U36" s="153"/>
      <c r="V36" s="153"/>
      <c r="W36" s="153"/>
      <c r="X36" s="418"/>
      <c r="Y36" s="153"/>
      <c r="Z36" s="153"/>
      <c r="AA36" s="584"/>
    </row>
    <row r="37" spans="1:27" ht="24" customHeight="1">
      <c r="A37" s="581"/>
      <c r="B37" s="582"/>
      <c r="C37" s="582"/>
      <c r="D37" s="582"/>
      <c r="E37" s="582"/>
      <c r="F37" s="582"/>
      <c r="G37" s="582"/>
      <c r="H37" s="582"/>
      <c r="I37" s="582"/>
      <c r="J37" s="582"/>
      <c r="K37" s="583"/>
      <c r="L37" s="418"/>
      <c r="M37" s="153"/>
      <c r="N37" s="153"/>
      <c r="O37" s="153"/>
      <c r="P37" s="418"/>
      <c r="Q37" s="153"/>
      <c r="R37" s="153"/>
      <c r="S37" s="153"/>
      <c r="T37" s="418"/>
      <c r="U37" s="153"/>
      <c r="V37" s="153"/>
      <c r="W37" s="153"/>
      <c r="X37" s="418"/>
      <c r="Y37" s="153"/>
      <c r="Z37" s="153"/>
      <c r="AA37" s="584"/>
    </row>
    <row r="38" spans="1:27" ht="24" customHeight="1">
      <c r="A38" s="581"/>
      <c r="B38" s="582"/>
      <c r="C38" s="582"/>
      <c r="D38" s="582"/>
      <c r="E38" s="582"/>
      <c r="F38" s="582"/>
      <c r="G38" s="582"/>
      <c r="H38" s="582"/>
      <c r="I38" s="582"/>
      <c r="J38" s="582"/>
      <c r="K38" s="583"/>
      <c r="L38" s="418"/>
      <c r="M38" s="153"/>
      <c r="N38" s="153"/>
      <c r="O38" s="153"/>
      <c r="P38" s="418"/>
      <c r="Q38" s="153"/>
      <c r="R38" s="153"/>
      <c r="S38" s="153"/>
      <c r="T38" s="418"/>
      <c r="U38" s="153"/>
      <c r="V38" s="153"/>
      <c r="W38" s="153"/>
      <c r="X38" s="418"/>
      <c r="Y38" s="153"/>
      <c r="Z38" s="153"/>
      <c r="AA38" s="584"/>
    </row>
    <row r="39" spans="1:27" ht="24" customHeight="1">
      <c r="A39" s="581"/>
      <c r="B39" s="582"/>
      <c r="C39" s="582"/>
      <c r="D39" s="582"/>
      <c r="E39" s="582"/>
      <c r="F39" s="582"/>
      <c r="G39" s="582"/>
      <c r="H39" s="582"/>
      <c r="I39" s="582"/>
      <c r="J39" s="582"/>
      <c r="K39" s="583"/>
      <c r="L39" s="418"/>
      <c r="M39" s="153"/>
      <c r="N39" s="153"/>
      <c r="O39" s="153"/>
      <c r="P39" s="418"/>
      <c r="Q39" s="153"/>
      <c r="R39" s="153"/>
      <c r="S39" s="153"/>
      <c r="T39" s="418"/>
      <c r="U39" s="153"/>
      <c r="V39" s="153"/>
      <c r="W39" s="153"/>
      <c r="X39" s="418"/>
      <c r="Y39" s="153"/>
      <c r="Z39" s="153"/>
      <c r="AA39" s="584"/>
    </row>
    <row r="40" spans="1:27" ht="24" customHeight="1">
      <c r="A40" s="581"/>
      <c r="B40" s="582"/>
      <c r="C40" s="582"/>
      <c r="D40" s="582"/>
      <c r="E40" s="582"/>
      <c r="F40" s="582"/>
      <c r="G40" s="582"/>
      <c r="H40" s="582"/>
      <c r="I40" s="582"/>
      <c r="J40" s="582"/>
      <c r="K40" s="583"/>
      <c r="L40" s="418"/>
      <c r="M40" s="153"/>
      <c r="N40" s="153"/>
      <c r="O40" s="153"/>
      <c r="P40" s="418"/>
      <c r="Q40" s="153"/>
      <c r="R40" s="153"/>
      <c r="S40" s="153"/>
      <c r="T40" s="418"/>
      <c r="U40" s="153"/>
      <c r="V40" s="153"/>
      <c r="W40" s="153"/>
      <c r="X40" s="418"/>
      <c r="Y40" s="153"/>
      <c r="Z40" s="153"/>
      <c r="AA40" s="584"/>
    </row>
    <row r="41" spans="1:27" ht="24" customHeight="1">
      <c r="A41" s="581"/>
      <c r="B41" s="582"/>
      <c r="C41" s="582"/>
      <c r="D41" s="582"/>
      <c r="E41" s="582"/>
      <c r="F41" s="582"/>
      <c r="G41" s="582"/>
      <c r="H41" s="582"/>
      <c r="I41" s="582"/>
      <c r="J41" s="582"/>
      <c r="K41" s="583"/>
      <c r="L41" s="418"/>
      <c r="M41" s="153"/>
      <c r="N41" s="153"/>
      <c r="O41" s="153"/>
      <c r="P41" s="418"/>
      <c r="Q41" s="153"/>
      <c r="R41" s="153"/>
      <c r="S41" s="153"/>
      <c r="T41" s="418"/>
      <c r="U41" s="153"/>
      <c r="V41" s="153"/>
      <c r="W41" s="153"/>
      <c r="X41" s="418"/>
      <c r="Y41" s="153"/>
      <c r="Z41" s="153"/>
      <c r="AA41" s="584"/>
    </row>
    <row r="42" spans="1:27" ht="24" customHeight="1">
      <c r="A42" s="581"/>
      <c r="B42" s="582"/>
      <c r="C42" s="582"/>
      <c r="D42" s="582"/>
      <c r="E42" s="582"/>
      <c r="F42" s="582"/>
      <c r="G42" s="582"/>
      <c r="H42" s="582"/>
      <c r="I42" s="582"/>
      <c r="J42" s="582"/>
      <c r="K42" s="583"/>
      <c r="L42" s="418"/>
      <c r="M42" s="153"/>
      <c r="N42" s="153"/>
      <c r="O42" s="153"/>
      <c r="P42" s="418"/>
      <c r="Q42" s="153"/>
      <c r="R42" s="153"/>
      <c r="S42" s="153"/>
      <c r="T42" s="418"/>
      <c r="U42" s="153"/>
      <c r="V42" s="153"/>
      <c r="W42" s="153"/>
      <c r="X42" s="418"/>
      <c r="Y42" s="153"/>
      <c r="Z42" s="153"/>
      <c r="AA42" s="584"/>
    </row>
    <row r="43" spans="1:27" ht="24" customHeight="1">
      <c r="A43" s="581"/>
      <c r="B43" s="582"/>
      <c r="C43" s="582"/>
      <c r="D43" s="582"/>
      <c r="E43" s="582"/>
      <c r="F43" s="582"/>
      <c r="G43" s="582"/>
      <c r="H43" s="582"/>
      <c r="I43" s="582"/>
      <c r="J43" s="582"/>
      <c r="K43" s="583"/>
      <c r="L43" s="418"/>
      <c r="M43" s="153"/>
      <c r="N43" s="153"/>
      <c r="O43" s="153"/>
      <c r="P43" s="418"/>
      <c r="Q43" s="153"/>
      <c r="R43" s="153"/>
      <c r="S43" s="153"/>
      <c r="T43" s="418"/>
      <c r="U43" s="153"/>
      <c r="V43" s="153"/>
      <c r="W43" s="153"/>
      <c r="X43" s="418"/>
      <c r="Y43" s="153"/>
      <c r="Z43" s="153"/>
      <c r="AA43" s="584"/>
    </row>
    <row r="44" spans="1:27" ht="24" customHeight="1">
      <c r="A44" s="581"/>
      <c r="B44" s="582"/>
      <c r="C44" s="582"/>
      <c r="D44" s="582"/>
      <c r="E44" s="582"/>
      <c r="F44" s="582"/>
      <c r="G44" s="582"/>
      <c r="H44" s="582"/>
      <c r="I44" s="582"/>
      <c r="J44" s="582"/>
      <c r="K44" s="583"/>
      <c r="L44" s="418"/>
      <c r="M44" s="153"/>
      <c r="N44" s="153"/>
      <c r="O44" s="153"/>
      <c r="P44" s="418"/>
      <c r="Q44" s="153"/>
      <c r="R44" s="153"/>
      <c r="S44" s="153"/>
      <c r="T44" s="418"/>
      <c r="U44" s="153"/>
      <c r="V44" s="153"/>
      <c r="W44" s="153"/>
      <c r="X44" s="418"/>
      <c r="Y44" s="153"/>
      <c r="Z44" s="153"/>
      <c r="AA44" s="584"/>
    </row>
    <row r="45" spans="1:27" ht="24" customHeight="1">
      <c r="A45" s="581"/>
      <c r="B45" s="582"/>
      <c r="C45" s="582"/>
      <c r="D45" s="582"/>
      <c r="E45" s="582"/>
      <c r="F45" s="582"/>
      <c r="G45" s="582"/>
      <c r="H45" s="582"/>
      <c r="I45" s="582"/>
      <c r="J45" s="582"/>
      <c r="K45" s="583"/>
      <c r="L45" s="418"/>
      <c r="M45" s="153"/>
      <c r="N45" s="153"/>
      <c r="O45" s="153"/>
      <c r="P45" s="418"/>
      <c r="Q45" s="153"/>
      <c r="R45" s="153"/>
      <c r="S45" s="153"/>
      <c r="T45" s="418"/>
      <c r="U45" s="153"/>
      <c r="V45" s="153"/>
      <c r="W45" s="153"/>
      <c r="X45" s="418"/>
      <c r="Y45" s="153"/>
      <c r="Z45" s="153"/>
      <c r="AA45" s="584"/>
    </row>
    <row r="46" spans="1:27" ht="24" customHeight="1">
      <c r="A46" s="581"/>
      <c r="B46" s="582"/>
      <c r="C46" s="582"/>
      <c r="D46" s="582"/>
      <c r="E46" s="582"/>
      <c r="F46" s="582"/>
      <c r="G46" s="582"/>
      <c r="H46" s="582"/>
      <c r="I46" s="582"/>
      <c r="J46" s="582"/>
      <c r="K46" s="583"/>
      <c r="L46" s="418"/>
      <c r="M46" s="153"/>
      <c r="N46" s="153"/>
      <c r="O46" s="153"/>
      <c r="P46" s="418"/>
      <c r="Q46" s="153"/>
      <c r="R46" s="153"/>
      <c r="S46" s="153"/>
      <c r="T46" s="418"/>
      <c r="U46" s="153"/>
      <c r="V46" s="153"/>
      <c r="W46" s="153"/>
      <c r="X46" s="418"/>
      <c r="Y46" s="153"/>
      <c r="Z46" s="153"/>
      <c r="AA46" s="584"/>
    </row>
    <row r="47" spans="1:27" ht="24" customHeight="1">
      <c r="A47" s="581"/>
      <c r="B47" s="582"/>
      <c r="C47" s="582"/>
      <c r="D47" s="582"/>
      <c r="E47" s="582"/>
      <c r="F47" s="582"/>
      <c r="G47" s="582"/>
      <c r="H47" s="582"/>
      <c r="I47" s="582"/>
      <c r="J47" s="582"/>
      <c r="K47" s="583"/>
      <c r="L47" s="418"/>
      <c r="M47" s="153"/>
      <c r="N47" s="153"/>
      <c r="O47" s="153"/>
      <c r="P47" s="418"/>
      <c r="Q47" s="153"/>
      <c r="R47" s="153"/>
      <c r="S47" s="153"/>
      <c r="T47" s="418"/>
      <c r="U47" s="153"/>
      <c r="V47" s="153"/>
      <c r="W47" s="153"/>
      <c r="X47" s="418"/>
      <c r="Y47" s="153"/>
      <c r="Z47" s="153"/>
      <c r="AA47" s="584"/>
    </row>
    <row r="48" spans="1:27" ht="24" customHeight="1">
      <c r="A48" s="581"/>
      <c r="B48" s="582"/>
      <c r="C48" s="582"/>
      <c r="D48" s="582"/>
      <c r="E48" s="582"/>
      <c r="F48" s="582"/>
      <c r="G48" s="582"/>
      <c r="H48" s="582"/>
      <c r="I48" s="582"/>
      <c r="J48" s="582"/>
      <c r="K48" s="583"/>
      <c r="L48" s="418"/>
      <c r="M48" s="153"/>
      <c r="N48" s="153"/>
      <c r="O48" s="153"/>
      <c r="P48" s="418"/>
      <c r="Q48" s="153"/>
      <c r="R48" s="153"/>
      <c r="S48" s="153"/>
      <c r="T48" s="418"/>
      <c r="U48" s="153"/>
      <c r="V48" s="153"/>
      <c r="W48" s="153"/>
      <c r="X48" s="418"/>
      <c r="Y48" s="153"/>
      <c r="Z48" s="153"/>
      <c r="AA48" s="584"/>
    </row>
    <row r="49" spans="1:27" ht="24" customHeight="1">
      <c r="A49" s="581"/>
      <c r="B49" s="582"/>
      <c r="C49" s="582"/>
      <c r="D49" s="582"/>
      <c r="E49" s="582"/>
      <c r="F49" s="582"/>
      <c r="G49" s="582"/>
      <c r="H49" s="582"/>
      <c r="I49" s="582"/>
      <c r="J49" s="582"/>
      <c r="K49" s="583"/>
      <c r="L49" s="418"/>
      <c r="M49" s="153"/>
      <c r="N49" s="153"/>
      <c r="O49" s="153"/>
      <c r="P49" s="418"/>
      <c r="Q49" s="153"/>
      <c r="R49" s="153"/>
      <c r="S49" s="153"/>
      <c r="T49" s="418"/>
      <c r="U49" s="153"/>
      <c r="V49" s="153"/>
      <c r="W49" s="153"/>
      <c r="X49" s="418"/>
      <c r="Y49" s="153"/>
      <c r="Z49" s="153"/>
      <c r="AA49" s="584"/>
    </row>
    <row r="50" spans="1:27" ht="24" customHeight="1">
      <c r="A50" s="581"/>
      <c r="B50" s="582"/>
      <c r="C50" s="582"/>
      <c r="D50" s="582"/>
      <c r="E50" s="582"/>
      <c r="F50" s="582"/>
      <c r="G50" s="582"/>
      <c r="H50" s="582"/>
      <c r="I50" s="582"/>
      <c r="J50" s="582"/>
      <c r="K50" s="583"/>
      <c r="L50" s="418"/>
      <c r="M50" s="153"/>
      <c r="N50" s="153"/>
      <c r="O50" s="153"/>
      <c r="P50" s="418"/>
      <c r="Q50" s="153"/>
      <c r="R50" s="153"/>
      <c r="S50" s="153"/>
      <c r="T50" s="418"/>
      <c r="U50" s="153"/>
      <c r="V50" s="153"/>
      <c r="W50" s="153"/>
      <c r="X50" s="418"/>
      <c r="Y50" s="153"/>
      <c r="Z50" s="153"/>
      <c r="AA50" s="584"/>
    </row>
    <row r="51" spans="1:27" ht="24" customHeight="1">
      <c r="A51" s="581"/>
      <c r="B51" s="582"/>
      <c r="C51" s="582"/>
      <c r="D51" s="582"/>
      <c r="E51" s="582"/>
      <c r="F51" s="582"/>
      <c r="G51" s="582"/>
      <c r="H51" s="582"/>
      <c r="I51" s="582"/>
      <c r="J51" s="582"/>
      <c r="K51" s="583"/>
      <c r="L51" s="418"/>
      <c r="M51" s="153"/>
      <c r="N51" s="153"/>
      <c r="O51" s="153"/>
      <c r="P51" s="418"/>
      <c r="Q51" s="153"/>
      <c r="R51" s="153"/>
      <c r="S51" s="153"/>
      <c r="T51" s="418"/>
      <c r="U51" s="153"/>
      <c r="V51" s="153"/>
      <c r="W51" s="153"/>
      <c r="X51" s="418"/>
      <c r="Y51" s="153"/>
      <c r="Z51" s="153"/>
      <c r="AA51" s="584"/>
    </row>
    <row r="52" spans="1:27" ht="24" customHeight="1">
      <c r="A52" s="581"/>
      <c r="B52" s="582"/>
      <c r="C52" s="582"/>
      <c r="D52" s="582"/>
      <c r="E52" s="582"/>
      <c r="F52" s="582"/>
      <c r="G52" s="582"/>
      <c r="H52" s="582"/>
      <c r="I52" s="582"/>
      <c r="J52" s="582"/>
      <c r="K52" s="583"/>
      <c r="L52" s="418"/>
      <c r="M52" s="153"/>
      <c r="N52" s="153"/>
      <c r="O52" s="153"/>
      <c r="P52" s="418"/>
      <c r="Q52" s="153"/>
      <c r="R52" s="153"/>
      <c r="S52" s="153"/>
      <c r="T52" s="418"/>
      <c r="U52" s="153"/>
      <c r="V52" s="153"/>
      <c r="W52" s="153"/>
      <c r="X52" s="418"/>
      <c r="Y52" s="153"/>
      <c r="Z52" s="153"/>
      <c r="AA52" s="584"/>
    </row>
    <row r="53" spans="1:27" ht="24" customHeight="1">
      <c r="A53" s="581"/>
      <c r="B53" s="582"/>
      <c r="C53" s="582"/>
      <c r="D53" s="582"/>
      <c r="E53" s="582"/>
      <c r="F53" s="582"/>
      <c r="G53" s="582"/>
      <c r="H53" s="582"/>
      <c r="I53" s="582"/>
      <c r="J53" s="582"/>
      <c r="K53" s="583"/>
      <c r="L53" s="418"/>
      <c r="M53" s="153"/>
      <c r="N53" s="153"/>
      <c r="O53" s="153"/>
      <c r="P53" s="418"/>
      <c r="Q53" s="153"/>
      <c r="R53" s="153"/>
      <c r="S53" s="153"/>
      <c r="T53" s="418"/>
      <c r="U53" s="153"/>
      <c r="V53" s="153"/>
      <c r="W53" s="153"/>
      <c r="X53" s="418"/>
      <c r="Y53" s="153"/>
      <c r="Z53" s="153"/>
      <c r="AA53" s="584"/>
    </row>
    <row r="54" spans="1:27" ht="24" customHeight="1">
      <c r="A54" s="581"/>
      <c r="B54" s="582"/>
      <c r="C54" s="582"/>
      <c r="D54" s="582"/>
      <c r="E54" s="582"/>
      <c r="F54" s="582"/>
      <c r="G54" s="582"/>
      <c r="H54" s="582"/>
      <c r="I54" s="582"/>
      <c r="J54" s="582"/>
      <c r="K54" s="583"/>
      <c r="L54" s="418"/>
      <c r="M54" s="153"/>
      <c r="N54" s="153"/>
      <c r="O54" s="153"/>
      <c r="P54" s="418"/>
      <c r="Q54" s="153"/>
      <c r="R54" s="153"/>
      <c r="S54" s="153"/>
      <c r="T54" s="418"/>
      <c r="U54" s="153"/>
      <c r="V54" s="153"/>
      <c r="W54" s="153"/>
      <c r="X54" s="418"/>
      <c r="Y54" s="153"/>
      <c r="Z54" s="153"/>
      <c r="AA54" s="584"/>
    </row>
    <row r="55" spans="1:27" ht="24" customHeight="1">
      <c r="A55" s="581"/>
      <c r="B55" s="582"/>
      <c r="C55" s="582"/>
      <c r="D55" s="582"/>
      <c r="E55" s="582"/>
      <c r="F55" s="582"/>
      <c r="G55" s="582"/>
      <c r="H55" s="582"/>
      <c r="I55" s="582"/>
      <c r="J55" s="582"/>
      <c r="K55" s="583"/>
      <c r="L55" s="418"/>
      <c r="M55" s="153"/>
      <c r="N55" s="153"/>
      <c r="O55" s="153"/>
      <c r="P55" s="418"/>
      <c r="Q55" s="153"/>
      <c r="R55" s="153"/>
      <c r="S55" s="153"/>
      <c r="T55" s="418"/>
      <c r="U55" s="153"/>
      <c r="V55" s="153"/>
      <c r="W55" s="153"/>
      <c r="X55" s="418"/>
      <c r="Y55" s="153"/>
      <c r="Z55" s="153"/>
      <c r="AA55" s="584"/>
    </row>
    <row r="56" spans="1:27" ht="24" customHeight="1">
      <c r="A56" s="581"/>
      <c r="B56" s="582"/>
      <c r="C56" s="582"/>
      <c r="D56" s="582"/>
      <c r="E56" s="582"/>
      <c r="F56" s="582"/>
      <c r="G56" s="582"/>
      <c r="H56" s="582"/>
      <c r="I56" s="582"/>
      <c r="J56" s="582"/>
      <c r="K56" s="583"/>
      <c r="L56" s="418"/>
      <c r="M56" s="153"/>
      <c r="N56" s="153"/>
      <c r="O56" s="153"/>
      <c r="P56" s="418"/>
      <c r="Q56" s="153"/>
      <c r="R56" s="153"/>
      <c r="S56" s="153"/>
      <c r="T56" s="418"/>
      <c r="U56" s="153"/>
      <c r="V56" s="153"/>
      <c r="W56" s="153"/>
      <c r="X56" s="418"/>
      <c r="Y56" s="153"/>
      <c r="Z56" s="153"/>
      <c r="AA56" s="584"/>
    </row>
    <row r="57" spans="1:27" ht="24" customHeight="1">
      <c r="A57" s="581"/>
      <c r="B57" s="582"/>
      <c r="C57" s="582"/>
      <c r="D57" s="582"/>
      <c r="E57" s="582"/>
      <c r="F57" s="582"/>
      <c r="G57" s="582"/>
      <c r="H57" s="582"/>
      <c r="I57" s="582"/>
      <c r="J57" s="582"/>
      <c r="K57" s="583"/>
      <c r="L57" s="418"/>
      <c r="M57" s="153"/>
      <c r="N57" s="153"/>
      <c r="O57" s="153"/>
      <c r="P57" s="418"/>
      <c r="Q57" s="153"/>
      <c r="R57" s="153"/>
      <c r="S57" s="153"/>
      <c r="T57" s="418"/>
      <c r="U57" s="153"/>
      <c r="V57" s="153"/>
      <c r="W57" s="153"/>
      <c r="X57" s="418"/>
      <c r="Y57" s="153"/>
      <c r="Z57" s="153"/>
      <c r="AA57" s="584"/>
    </row>
    <row r="58" spans="1:27" ht="24" customHeight="1">
      <c r="A58" s="581"/>
      <c r="B58" s="582"/>
      <c r="C58" s="582"/>
      <c r="D58" s="582"/>
      <c r="E58" s="582"/>
      <c r="F58" s="582"/>
      <c r="G58" s="582"/>
      <c r="H58" s="582"/>
      <c r="I58" s="582"/>
      <c r="J58" s="582"/>
      <c r="K58" s="583"/>
      <c r="L58" s="418"/>
      <c r="M58" s="153"/>
      <c r="N58" s="153"/>
      <c r="O58" s="153"/>
      <c r="P58" s="418"/>
      <c r="Q58" s="153"/>
      <c r="R58" s="153"/>
      <c r="S58" s="153"/>
      <c r="T58" s="418"/>
      <c r="U58" s="153"/>
      <c r="V58" s="153"/>
      <c r="W58" s="153"/>
      <c r="X58" s="418"/>
      <c r="Y58" s="153"/>
      <c r="Z58" s="153"/>
      <c r="AA58" s="584"/>
    </row>
    <row r="59" spans="1:27" ht="24" customHeight="1">
      <c r="A59" s="581"/>
      <c r="B59" s="582"/>
      <c r="C59" s="582"/>
      <c r="D59" s="582"/>
      <c r="E59" s="582"/>
      <c r="F59" s="582"/>
      <c r="G59" s="582"/>
      <c r="H59" s="582"/>
      <c r="I59" s="582"/>
      <c r="J59" s="582"/>
      <c r="K59" s="583"/>
      <c r="L59" s="418"/>
      <c r="M59" s="153"/>
      <c r="N59" s="153"/>
      <c r="O59" s="153"/>
      <c r="P59" s="418"/>
      <c r="Q59" s="153"/>
      <c r="R59" s="153"/>
      <c r="S59" s="153"/>
      <c r="T59" s="418"/>
      <c r="U59" s="153"/>
      <c r="V59" s="153"/>
      <c r="W59" s="153"/>
      <c r="X59" s="418"/>
      <c r="Y59" s="153"/>
      <c r="Z59" s="153"/>
      <c r="AA59" s="584"/>
    </row>
    <row r="60" spans="1:27" ht="24" customHeight="1">
      <c r="A60" s="581"/>
      <c r="B60" s="582"/>
      <c r="C60" s="582"/>
      <c r="D60" s="582"/>
      <c r="E60" s="582"/>
      <c r="F60" s="582"/>
      <c r="G60" s="582"/>
      <c r="H60" s="582"/>
      <c r="I60" s="582"/>
      <c r="J60" s="582"/>
      <c r="K60" s="583"/>
      <c r="L60" s="418"/>
      <c r="M60" s="153"/>
      <c r="N60" s="153"/>
      <c r="O60" s="153"/>
      <c r="P60" s="418"/>
      <c r="Q60" s="153"/>
      <c r="R60" s="153"/>
      <c r="S60" s="153"/>
      <c r="T60" s="418"/>
      <c r="U60" s="153"/>
      <c r="V60" s="153"/>
      <c r="W60" s="153"/>
      <c r="X60" s="418"/>
      <c r="Y60" s="153"/>
      <c r="Z60" s="153"/>
      <c r="AA60" s="584"/>
    </row>
    <row r="61" spans="1:27" ht="24" customHeight="1">
      <c r="A61" s="581"/>
      <c r="B61" s="582"/>
      <c r="C61" s="582"/>
      <c r="D61" s="582"/>
      <c r="E61" s="582"/>
      <c r="F61" s="582"/>
      <c r="G61" s="582"/>
      <c r="H61" s="582"/>
      <c r="I61" s="582"/>
      <c r="J61" s="582"/>
      <c r="K61" s="583"/>
      <c r="L61" s="418"/>
      <c r="M61" s="153"/>
      <c r="N61" s="153"/>
      <c r="O61" s="153"/>
      <c r="P61" s="418"/>
      <c r="Q61" s="153"/>
      <c r="R61" s="153"/>
      <c r="S61" s="153"/>
      <c r="T61" s="418"/>
      <c r="U61" s="153"/>
      <c r="V61" s="153"/>
      <c r="W61" s="153"/>
      <c r="X61" s="418"/>
      <c r="Y61" s="153"/>
      <c r="Z61" s="153"/>
      <c r="AA61" s="584"/>
    </row>
    <row r="62" spans="1:27" ht="24" customHeight="1">
      <c r="A62" s="581"/>
      <c r="B62" s="582"/>
      <c r="C62" s="582"/>
      <c r="D62" s="582"/>
      <c r="E62" s="582"/>
      <c r="F62" s="582"/>
      <c r="G62" s="582"/>
      <c r="H62" s="582"/>
      <c r="I62" s="582"/>
      <c r="J62" s="582"/>
      <c r="K62" s="583"/>
      <c r="L62" s="418"/>
      <c r="M62" s="153"/>
      <c r="N62" s="153"/>
      <c r="O62" s="153"/>
      <c r="P62" s="418"/>
      <c r="Q62" s="153"/>
      <c r="R62" s="153"/>
      <c r="S62" s="153"/>
      <c r="T62" s="418"/>
      <c r="U62" s="153"/>
      <c r="V62" s="153"/>
      <c r="W62" s="153"/>
      <c r="X62" s="418"/>
      <c r="Y62" s="153"/>
      <c r="Z62" s="153"/>
      <c r="AA62" s="584"/>
    </row>
    <row r="63" spans="1:27" ht="24" customHeight="1">
      <c r="A63" s="581"/>
      <c r="B63" s="582"/>
      <c r="C63" s="582"/>
      <c r="D63" s="582"/>
      <c r="E63" s="582"/>
      <c r="F63" s="582"/>
      <c r="G63" s="582"/>
      <c r="H63" s="582"/>
      <c r="I63" s="582"/>
      <c r="J63" s="582"/>
      <c r="K63" s="583"/>
      <c r="L63" s="418"/>
      <c r="M63" s="153"/>
      <c r="N63" s="153"/>
      <c r="O63" s="153"/>
      <c r="P63" s="418"/>
      <c r="Q63" s="153"/>
      <c r="R63" s="153"/>
      <c r="S63" s="153"/>
      <c r="T63" s="418"/>
      <c r="U63" s="153"/>
      <c r="V63" s="153"/>
      <c r="W63" s="153"/>
      <c r="X63" s="418"/>
      <c r="Y63" s="153"/>
      <c r="Z63" s="153"/>
      <c r="AA63" s="584"/>
    </row>
    <row r="64" spans="1:27" ht="24" customHeight="1">
      <c r="A64" s="581"/>
      <c r="B64" s="582"/>
      <c r="C64" s="582"/>
      <c r="D64" s="582"/>
      <c r="E64" s="582"/>
      <c r="F64" s="582"/>
      <c r="G64" s="582"/>
      <c r="H64" s="582"/>
      <c r="I64" s="582"/>
      <c r="J64" s="582"/>
      <c r="K64" s="583"/>
      <c r="L64" s="418"/>
      <c r="M64" s="153"/>
      <c r="N64" s="153"/>
      <c r="O64" s="153"/>
      <c r="P64" s="418"/>
      <c r="Q64" s="153"/>
      <c r="R64" s="153"/>
      <c r="S64" s="153"/>
      <c r="T64" s="418"/>
      <c r="U64" s="153"/>
      <c r="V64" s="153"/>
      <c r="W64" s="153"/>
      <c r="X64" s="418"/>
      <c r="Y64" s="153"/>
      <c r="Z64" s="153"/>
      <c r="AA64" s="584"/>
    </row>
    <row r="65" spans="1:27" ht="24" customHeight="1">
      <c r="A65" s="581"/>
      <c r="B65" s="582"/>
      <c r="C65" s="582"/>
      <c r="D65" s="582"/>
      <c r="E65" s="582"/>
      <c r="F65" s="582"/>
      <c r="G65" s="582"/>
      <c r="H65" s="582"/>
      <c r="I65" s="582"/>
      <c r="J65" s="582"/>
      <c r="K65" s="583"/>
      <c r="L65" s="418"/>
      <c r="M65" s="153"/>
      <c r="N65" s="153"/>
      <c r="O65" s="153"/>
      <c r="P65" s="418"/>
      <c r="Q65" s="153"/>
      <c r="R65" s="153"/>
      <c r="S65" s="153"/>
      <c r="T65" s="418"/>
      <c r="U65" s="153"/>
      <c r="V65" s="153"/>
      <c r="W65" s="153"/>
      <c r="X65" s="418"/>
      <c r="Y65" s="153"/>
      <c r="Z65" s="153"/>
      <c r="AA65" s="584"/>
    </row>
    <row r="66" spans="1:27" ht="24" customHeight="1">
      <c r="A66" s="581"/>
      <c r="B66" s="582"/>
      <c r="C66" s="582"/>
      <c r="D66" s="582"/>
      <c r="E66" s="582"/>
      <c r="F66" s="582"/>
      <c r="G66" s="582"/>
      <c r="H66" s="582"/>
      <c r="I66" s="582"/>
      <c r="J66" s="582"/>
      <c r="K66" s="583"/>
      <c r="L66" s="418"/>
      <c r="M66" s="153"/>
      <c r="N66" s="153"/>
      <c r="O66" s="153"/>
      <c r="P66" s="418"/>
      <c r="Q66" s="153"/>
      <c r="R66" s="153"/>
      <c r="S66" s="153"/>
      <c r="T66" s="418"/>
      <c r="U66" s="153"/>
      <c r="V66" s="153"/>
      <c r="W66" s="153"/>
      <c r="X66" s="418"/>
      <c r="Y66" s="153"/>
      <c r="Z66" s="153"/>
      <c r="AA66" s="584"/>
    </row>
    <row r="67" spans="1:27" ht="24" customHeight="1">
      <c r="A67" s="581"/>
      <c r="B67" s="582"/>
      <c r="C67" s="582"/>
      <c r="D67" s="582"/>
      <c r="E67" s="582"/>
      <c r="F67" s="582"/>
      <c r="G67" s="582"/>
      <c r="H67" s="582"/>
      <c r="I67" s="582"/>
      <c r="J67" s="582"/>
      <c r="K67" s="583"/>
      <c r="L67" s="418"/>
      <c r="M67" s="153"/>
      <c r="N67" s="153"/>
      <c r="O67" s="153"/>
      <c r="P67" s="418"/>
      <c r="Q67" s="153"/>
      <c r="R67" s="153"/>
      <c r="S67" s="153"/>
      <c r="T67" s="418"/>
      <c r="U67" s="153"/>
      <c r="V67" s="153"/>
      <c r="W67" s="153"/>
      <c r="X67" s="418"/>
      <c r="Y67" s="153"/>
      <c r="Z67" s="153"/>
      <c r="AA67" s="584"/>
    </row>
    <row r="68" spans="1:27" ht="24" customHeight="1">
      <c r="A68" s="581"/>
      <c r="B68" s="582"/>
      <c r="C68" s="582"/>
      <c r="D68" s="582"/>
      <c r="E68" s="582"/>
      <c r="F68" s="582"/>
      <c r="G68" s="582"/>
      <c r="H68" s="582"/>
      <c r="I68" s="582"/>
      <c r="J68" s="582"/>
      <c r="K68" s="583"/>
      <c r="L68" s="418"/>
      <c r="M68" s="153"/>
      <c r="N68" s="153"/>
      <c r="O68" s="153"/>
      <c r="P68" s="418"/>
      <c r="Q68" s="153"/>
      <c r="R68" s="153"/>
      <c r="S68" s="153"/>
      <c r="T68" s="418"/>
      <c r="U68" s="153"/>
      <c r="V68" s="153"/>
      <c r="W68" s="153"/>
      <c r="X68" s="418"/>
      <c r="Y68" s="153"/>
      <c r="Z68" s="153"/>
      <c r="AA68" s="584"/>
    </row>
    <row r="69" spans="1:27" ht="24" customHeight="1">
      <c r="A69" s="581"/>
      <c r="B69" s="582"/>
      <c r="C69" s="582"/>
      <c r="D69" s="582"/>
      <c r="E69" s="582"/>
      <c r="F69" s="582"/>
      <c r="G69" s="582"/>
      <c r="H69" s="582"/>
      <c r="I69" s="582"/>
      <c r="J69" s="582"/>
      <c r="K69" s="583"/>
      <c r="L69" s="418"/>
      <c r="M69" s="153"/>
      <c r="N69" s="153"/>
      <c r="O69" s="153"/>
      <c r="P69" s="418"/>
      <c r="Q69" s="153"/>
      <c r="R69" s="153"/>
      <c r="S69" s="153"/>
      <c r="T69" s="418"/>
      <c r="U69" s="153"/>
      <c r="V69" s="153"/>
      <c r="W69" s="153"/>
      <c r="X69" s="418"/>
      <c r="Y69" s="153"/>
      <c r="Z69" s="153"/>
      <c r="AA69" s="584"/>
    </row>
    <row r="70" spans="1:27" ht="24" customHeight="1">
      <c r="A70" s="581"/>
      <c r="B70" s="582"/>
      <c r="C70" s="582"/>
      <c r="D70" s="582"/>
      <c r="E70" s="582"/>
      <c r="F70" s="582"/>
      <c r="G70" s="582"/>
      <c r="H70" s="582"/>
      <c r="I70" s="582"/>
      <c r="J70" s="582"/>
      <c r="K70" s="583"/>
      <c r="L70" s="418"/>
      <c r="M70" s="153"/>
      <c r="N70" s="153"/>
      <c r="O70" s="153"/>
      <c r="P70" s="418"/>
      <c r="Q70" s="153"/>
      <c r="R70" s="153"/>
      <c r="S70" s="153"/>
      <c r="T70" s="418"/>
      <c r="U70" s="153"/>
      <c r="V70" s="153"/>
      <c r="W70" s="153"/>
      <c r="X70" s="418"/>
      <c r="Y70" s="153"/>
      <c r="Z70" s="153"/>
      <c r="AA70" s="584"/>
    </row>
    <row r="71" spans="1:27" ht="24" customHeight="1">
      <c r="A71" s="581"/>
      <c r="B71" s="582"/>
      <c r="C71" s="582"/>
      <c r="D71" s="582"/>
      <c r="E71" s="582"/>
      <c r="F71" s="582"/>
      <c r="G71" s="582"/>
      <c r="H71" s="582"/>
      <c r="I71" s="582"/>
      <c r="J71" s="582"/>
      <c r="K71" s="583"/>
      <c r="L71" s="418"/>
      <c r="M71" s="153"/>
      <c r="N71" s="153"/>
      <c r="O71" s="153"/>
      <c r="P71" s="418"/>
      <c r="Q71" s="153"/>
      <c r="R71" s="153"/>
      <c r="S71" s="153"/>
      <c r="T71" s="418"/>
      <c r="U71" s="153"/>
      <c r="V71" s="153"/>
      <c r="W71" s="153"/>
      <c r="X71" s="418"/>
      <c r="Y71" s="153"/>
      <c r="Z71" s="153"/>
      <c r="AA71" s="584"/>
    </row>
    <row r="72" spans="1:27" ht="24" customHeight="1">
      <c r="A72" s="581"/>
      <c r="B72" s="582"/>
      <c r="C72" s="582"/>
      <c r="D72" s="582"/>
      <c r="E72" s="582"/>
      <c r="F72" s="582"/>
      <c r="G72" s="582"/>
      <c r="H72" s="582"/>
      <c r="I72" s="582"/>
      <c r="J72" s="582"/>
      <c r="K72" s="583"/>
      <c r="L72" s="418"/>
      <c r="M72" s="153"/>
      <c r="N72" s="153"/>
      <c r="O72" s="153"/>
      <c r="P72" s="418"/>
      <c r="Q72" s="153"/>
      <c r="R72" s="153"/>
      <c r="S72" s="153"/>
      <c r="T72" s="418"/>
      <c r="U72" s="153"/>
      <c r="V72" s="153"/>
      <c r="W72" s="153"/>
      <c r="X72" s="418"/>
      <c r="Y72" s="153"/>
      <c r="Z72" s="153"/>
      <c r="AA72" s="584"/>
    </row>
    <row r="73" spans="1:27" ht="24" customHeight="1">
      <c r="A73" s="581"/>
      <c r="B73" s="582"/>
      <c r="C73" s="582"/>
      <c r="D73" s="582"/>
      <c r="E73" s="582"/>
      <c r="F73" s="582"/>
      <c r="G73" s="582"/>
      <c r="H73" s="582"/>
      <c r="I73" s="582"/>
      <c r="J73" s="582"/>
      <c r="K73" s="583"/>
      <c r="L73" s="418"/>
      <c r="M73" s="153"/>
      <c r="N73" s="153"/>
      <c r="O73" s="153"/>
      <c r="P73" s="418"/>
      <c r="Q73" s="153"/>
      <c r="R73" s="153"/>
      <c r="S73" s="153"/>
      <c r="T73" s="418"/>
      <c r="U73" s="153"/>
      <c r="V73" s="153"/>
      <c r="W73" s="153"/>
      <c r="X73" s="418"/>
      <c r="Y73" s="153"/>
      <c r="Z73" s="153"/>
      <c r="AA73" s="584"/>
    </row>
    <row r="74" spans="1:27" ht="24" customHeight="1">
      <c r="A74" s="581"/>
      <c r="B74" s="582"/>
      <c r="C74" s="582"/>
      <c r="D74" s="582"/>
      <c r="E74" s="582"/>
      <c r="F74" s="582"/>
      <c r="G74" s="582"/>
      <c r="H74" s="582"/>
      <c r="I74" s="582"/>
      <c r="J74" s="582"/>
      <c r="K74" s="583"/>
      <c r="L74" s="418"/>
      <c r="M74" s="153"/>
      <c r="N74" s="153"/>
      <c r="O74" s="153"/>
      <c r="P74" s="418"/>
      <c r="Q74" s="153"/>
      <c r="R74" s="153"/>
      <c r="S74" s="153"/>
      <c r="T74" s="418"/>
      <c r="U74" s="153"/>
      <c r="V74" s="153"/>
      <c r="W74" s="153"/>
      <c r="X74" s="418"/>
      <c r="Y74" s="153"/>
      <c r="Z74" s="153"/>
      <c r="AA74" s="584"/>
    </row>
    <row r="75" spans="1:27" ht="24" customHeight="1">
      <c r="A75" s="581"/>
      <c r="B75" s="582"/>
      <c r="C75" s="582"/>
      <c r="D75" s="582"/>
      <c r="E75" s="582"/>
      <c r="F75" s="582"/>
      <c r="G75" s="582"/>
      <c r="H75" s="582"/>
      <c r="I75" s="582"/>
      <c r="J75" s="582"/>
      <c r="K75" s="583"/>
      <c r="L75" s="418"/>
      <c r="M75" s="153"/>
      <c r="N75" s="153"/>
      <c r="O75" s="153"/>
      <c r="P75" s="418"/>
      <c r="Q75" s="153"/>
      <c r="R75" s="153"/>
      <c r="S75" s="153"/>
      <c r="T75" s="418"/>
      <c r="U75" s="153"/>
      <c r="V75" s="153"/>
      <c r="W75" s="153"/>
      <c r="X75" s="418"/>
      <c r="Y75" s="153"/>
      <c r="Z75" s="153"/>
      <c r="AA75" s="584"/>
    </row>
    <row r="76" spans="1:27" ht="24" customHeight="1">
      <c r="A76" s="581"/>
      <c r="B76" s="582"/>
      <c r="C76" s="582"/>
      <c r="D76" s="582"/>
      <c r="E76" s="582"/>
      <c r="F76" s="582"/>
      <c r="G76" s="582"/>
      <c r="H76" s="582"/>
      <c r="I76" s="582"/>
      <c r="J76" s="582"/>
      <c r="K76" s="583"/>
      <c r="L76" s="418"/>
      <c r="M76" s="153"/>
      <c r="N76" s="153"/>
      <c r="O76" s="153"/>
      <c r="P76" s="418"/>
      <c r="Q76" s="153"/>
      <c r="R76" s="153"/>
      <c r="S76" s="153"/>
      <c r="T76" s="418"/>
      <c r="U76" s="153"/>
      <c r="V76" s="153"/>
      <c r="W76" s="153"/>
      <c r="X76" s="418"/>
      <c r="Y76" s="153"/>
      <c r="Z76" s="153"/>
      <c r="AA76" s="584"/>
    </row>
    <row r="77" spans="1:27" ht="24" customHeight="1">
      <c r="A77" s="581"/>
      <c r="B77" s="582"/>
      <c r="C77" s="582"/>
      <c r="D77" s="582"/>
      <c r="E77" s="582"/>
      <c r="F77" s="582"/>
      <c r="G77" s="582"/>
      <c r="H77" s="582"/>
      <c r="I77" s="582"/>
      <c r="J77" s="582"/>
      <c r="K77" s="583"/>
      <c r="L77" s="418"/>
      <c r="M77" s="153"/>
      <c r="N77" s="153"/>
      <c r="O77" s="153"/>
      <c r="P77" s="418"/>
      <c r="Q77" s="153"/>
      <c r="R77" s="153"/>
      <c r="S77" s="153"/>
      <c r="T77" s="418"/>
      <c r="U77" s="153"/>
      <c r="V77" s="153"/>
      <c r="W77" s="153"/>
      <c r="X77" s="418"/>
      <c r="Y77" s="153"/>
      <c r="Z77" s="153"/>
      <c r="AA77" s="584"/>
    </row>
    <row r="78" spans="1:27" ht="24" customHeight="1">
      <c r="A78" s="581"/>
      <c r="B78" s="582"/>
      <c r="C78" s="582"/>
      <c r="D78" s="582"/>
      <c r="E78" s="582"/>
      <c r="F78" s="582"/>
      <c r="G78" s="582"/>
      <c r="H78" s="582"/>
      <c r="I78" s="582"/>
      <c r="J78" s="582"/>
      <c r="K78" s="583"/>
      <c r="L78" s="418"/>
      <c r="M78" s="153"/>
      <c r="N78" s="153"/>
      <c r="O78" s="153"/>
      <c r="P78" s="418"/>
      <c r="Q78" s="153"/>
      <c r="R78" s="153"/>
      <c r="S78" s="153"/>
      <c r="T78" s="418"/>
      <c r="U78" s="153"/>
      <c r="V78" s="153"/>
      <c r="W78" s="153"/>
      <c r="X78" s="418"/>
      <c r="Y78" s="153"/>
      <c r="Z78" s="153"/>
      <c r="AA78" s="584"/>
    </row>
    <row r="79" spans="1:27" ht="24" customHeight="1">
      <c r="A79" s="581"/>
      <c r="B79" s="582"/>
      <c r="C79" s="582"/>
      <c r="D79" s="582"/>
      <c r="E79" s="582"/>
      <c r="F79" s="582"/>
      <c r="G79" s="582"/>
      <c r="H79" s="582"/>
      <c r="I79" s="582"/>
      <c r="J79" s="582"/>
      <c r="K79" s="583"/>
      <c r="L79" s="418"/>
      <c r="M79" s="153"/>
      <c r="N79" s="153"/>
      <c r="O79" s="153"/>
      <c r="P79" s="418"/>
      <c r="Q79" s="153"/>
      <c r="R79" s="153"/>
      <c r="S79" s="153"/>
      <c r="T79" s="418"/>
      <c r="U79" s="153"/>
      <c r="V79" s="153"/>
      <c r="W79" s="153"/>
      <c r="X79" s="418"/>
      <c r="Y79" s="153"/>
      <c r="Z79" s="153"/>
      <c r="AA79" s="584"/>
    </row>
    <row r="80" spans="1:27" ht="24" customHeight="1">
      <c r="A80" s="581"/>
      <c r="B80" s="582"/>
      <c r="C80" s="582"/>
      <c r="D80" s="582"/>
      <c r="E80" s="582"/>
      <c r="F80" s="582"/>
      <c r="G80" s="582"/>
      <c r="H80" s="582"/>
      <c r="I80" s="582"/>
      <c r="J80" s="582"/>
      <c r="K80" s="583"/>
      <c r="L80" s="418"/>
      <c r="M80" s="153"/>
      <c r="N80" s="153"/>
      <c r="O80" s="153"/>
      <c r="P80" s="418"/>
      <c r="Q80" s="153"/>
      <c r="R80" s="153"/>
      <c r="S80" s="153"/>
      <c r="T80" s="418"/>
      <c r="U80" s="153"/>
      <c r="V80" s="153"/>
      <c r="W80" s="153"/>
      <c r="X80" s="418"/>
      <c r="Y80" s="153"/>
      <c r="Z80" s="153"/>
      <c r="AA80" s="584"/>
    </row>
    <row r="81" spans="1:29" ht="24" customHeight="1">
      <c r="A81" s="581"/>
      <c r="B81" s="582"/>
      <c r="C81" s="582"/>
      <c r="D81" s="582"/>
      <c r="E81" s="582"/>
      <c r="F81" s="582"/>
      <c r="G81" s="582"/>
      <c r="H81" s="582"/>
      <c r="I81" s="582"/>
      <c r="J81" s="582"/>
      <c r="K81" s="583"/>
      <c r="L81" s="418"/>
      <c r="M81" s="153"/>
      <c r="N81" s="153"/>
      <c r="O81" s="153"/>
      <c r="P81" s="418"/>
      <c r="Q81" s="153"/>
      <c r="R81" s="153"/>
      <c r="S81" s="153"/>
      <c r="T81" s="418"/>
      <c r="U81" s="153"/>
      <c r="V81" s="153"/>
      <c r="W81" s="153"/>
      <c r="X81" s="418"/>
      <c r="Y81" s="153"/>
      <c r="Z81" s="153"/>
      <c r="AA81" s="584"/>
    </row>
    <row r="82" spans="1:29" ht="12.75" customHeight="1">
      <c r="A82" s="22"/>
      <c r="AA82" s="19"/>
    </row>
    <row r="83" spans="1:29" ht="12.75" customHeight="1">
      <c r="A83" s="22"/>
      <c r="AA83" s="19"/>
    </row>
    <row r="84" spans="1:29" ht="12.75" customHeight="1">
      <c r="A84" s="22"/>
      <c r="AA84" s="19"/>
    </row>
    <row r="85" spans="1:29" ht="12.75" customHeight="1">
      <c r="A85" s="22"/>
      <c r="AA85" s="19"/>
    </row>
    <row r="86" spans="1:29" ht="15.75" customHeight="1" thickBot="1">
      <c r="A86" s="23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5"/>
      <c r="AC86" s="2"/>
    </row>
    <row r="87" spans="1:29" ht="15" thickTop="1"/>
  </sheetData>
  <customSheetViews>
    <customSheetView guid="{99F77AB9-FA43-4D4B-9896-F712C1493A3C}" scale="130" showPageBreaks="1" printArea="1" view="pageBreakPreview">
      <selection activeCell="H12" sqref="H12:K12"/>
      <pageMargins left="0.7" right="0.36" top="0.4" bottom="0.28000000000000003" header="0.3" footer="0.24"/>
      <pageSetup paperSize="9" orientation="portrait" verticalDpi="200" r:id="rId1"/>
    </customSheetView>
    <customSheetView guid="{C8BAC6B5-86E1-4F54-AEAC-1412291311FD}" scale="130" showPageBreaks="1" printArea="1" view="pageBreakPreview">
      <selection activeCell="H12" sqref="H12:K12"/>
      <pageMargins left="0.7" right="0.36" top="0.4" bottom="0.28000000000000003" header="0.3" footer="0.24"/>
      <pageSetup paperSize="9" orientation="portrait" verticalDpi="200" r:id="rId2"/>
    </customSheetView>
  </customSheetViews>
  <mergeCells count="387">
    <mergeCell ref="P61:S61"/>
    <mergeCell ref="T61:W61"/>
    <mergeCell ref="X61:AA61"/>
    <mergeCell ref="L62:O62"/>
    <mergeCell ref="P62:S62"/>
    <mergeCell ref="T62:W62"/>
    <mergeCell ref="X62:AA62"/>
    <mergeCell ref="P58:S58"/>
    <mergeCell ref="T58:W58"/>
    <mergeCell ref="X58:AA58"/>
    <mergeCell ref="L59:O59"/>
    <mergeCell ref="P59:S59"/>
    <mergeCell ref="T59:W59"/>
    <mergeCell ref="X59:AA59"/>
    <mergeCell ref="L60:O60"/>
    <mergeCell ref="P60:S60"/>
    <mergeCell ref="T60:W60"/>
    <mergeCell ref="X60:AA60"/>
    <mergeCell ref="P55:S55"/>
    <mergeCell ref="T55:W55"/>
    <mergeCell ref="X55:AA55"/>
    <mergeCell ref="L56:O56"/>
    <mergeCell ref="P56:S56"/>
    <mergeCell ref="T56:W56"/>
    <mergeCell ref="X56:AA56"/>
    <mergeCell ref="L57:O57"/>
    <mergeCell ref="P57:S57"/>
    <mergeCell ref="T57:W57"/>
    <mergeCell ref="X57:AA57"/>
    <mergeCell ref="P52:S52"/>
    <mergeCell ref="T52:W52"/>
    <mergeCell ref="X52:AA52"/>
    <mergeCell ref="L53:O53"/>
    <mergeCell ref="P53:S53"/>
    <mergeCell ref="T53:W53"/>
    <mergeCell ref="X53:AA53"/>
    <mergeCell ref="L54:O54"/>
    <mergeCell ref="P54:S54"/>
    <mergeCell ref="T54:W54"/>
    <mergeCell ref="X54:AA54"/>
    <mergeCell ref="P49:S49"/>
    <mergeCell ref="T49:W49"/>
    <mergeCell ref="X49:AA49"/>
    <mergeCell ref="L50:O50"/>
    <mergeCell ref="P50:S50"/>
    <mergeCell ref="T50:W50"/>
    <mergeCell ref="X50:AA50"/>
    <mergeCell ref="L51:O51"/>
    <mergeCell ref="P51:S51"/>
    <mergeCell ref="T51:W51"/>
    <mergeCell ref="X51:AA51"/>
    <mergeCell ref="P46:S46"/>
    <mergeCell ref="T46:W46"/>
    <mergeCell ref="X46:AA46"/>
    <mergeCell ref="L47:O47"/>
    <mergeCell ref="P47:S47"/>
    <mergeCell ref="T47:W47"/>
    <mergeCell ref="X47:AA47"/>
    <mergeCell ref="L48:O48"/>
    <mergeCell ref="P48:S48"/>
    <mergeCell ref="T48:W48"/>
    <mergeCell ref="X48:AA48"/>
    <mergeCell ref="P43:S43"/>
    <mergeCell ref="T43:W43"/>
    <mergeCell ref="X43:AA43"/>
    <mergeCell ref="L44:O44"/>
    <mergeCell ref="P44:S44"/>
    <mergeCell ref="T44:W44"/>
    <mergeCell ref="X44:AA44"/>
    <mergeCell ref="L45:O45"/>
    <mergeCell ref="P45:S45"/>
    <mergeCell ref="T45:W45"/>
    <mergeCell ref="X45:AA45"/>
    <mergeCell ref="P40:S40"/>
    <mergeCell ref="T40:W40"/>
    <mergeCell ref="X40:AA40"/>
    <mergeCell ref="L41:O41"/>
    <mergeCell ref="P41:S41"/>
    <mergeCell ref="T41:W41"/>
    <mergeCell ref="X41:AA41"/>
    <mergeCell ref="L42:O42"/>
    <mergeCell ref="P42:S42"/>
    <mergeCell ref="T42:W42"/>
    <mergeCell ref="X42:AA42"/>
    <mergeCell ref="P37:S37"/>
    <mergeCell ref="T37:W37"/>
    <mergeCell ref="X37:AA37"/>
    <mergeCell ref="L38:O38"/>
    <mergeCell ref="P38:S38"/>
    <mergeCell ref="T38:W38"/>
    <mergeCell ref="X38:AA38"/>
    <mergeCell ref="L39:O39"/>
    <mergeCell ref="P39:S39"/>
    <mergeCell ref="T39:W39"/>
    <mergeCell ref="X39:AA39"/>
    <mergeCell ref="P34:S34"/>
    <mergeCell ref="T34:W34"/>
    <mergeCell ref="X34:AA34"/>
    <mergeCell ref="L35:O35"/>
    <mergeCell ref="P35:S35"/>
    <mergeCell ref="T35:W35"/>
    <mergeCell ref="X35:AA35"/>
    <mergeCell ref="L36:O36"/>
    <mergeCell ref="P36:S36"/>
    <mergeCell ref="T36:W36"/>
    <mergeCell ref="X36:AA36"/>
    <mergeCell ref="P31:S31"/>
    <mergeCell ref="T31:W31"/>
    <mergeCell ref="X31:AA31"/>
    <mergeCell ref="L32:O32"/>
    <mergeCell ref="P32:S32"/>
    <mergeCell ref="T32:W32"/>
    <mergeCell ref="X32:AA32"/>
    <mergeCell ref="L33:O33"/>
    <mergeCell ref="P33:S33"/>
    <mergeCell ref="T33:W33"/>
    <mergeCell ref="X33:AA33"/>
    <mergeCell ref="P28:S28"/>
    <mergeCell ref="T28:W28"/>
    <mergeCell ref="X28:AA28"/>
    <mergeCell ref="L29:O29"/>
    <mergeCell ref="P29:S29"/>
    <mergeCell ref="T29:W29"/>
    <mergeCell ref="X29:AA29"/>
    <mergeCell ref="L30:O30"/>
    <mergeCell ref="P30:S30"/>
    <mergeCell ref="T30:W30"/>
    <mergeCell ref="X30:AA30"/>
    <mergeCell ref="A55:K55"/>
    <mergeCell ref="A56:K56"/>
    <mergeCell ref="A57:K57"/>
    <mergeCell ref="A58:K58"/>
    <mergeCell ref="A59:K59"/>
    <mergeCell ref="A60:K60"/>
    <mergeCell ref="A61:K61"/>
    <mergeCell ref="A62:K62"/>
    <mergeCell ref="L28:O28"/>
    <mergeCell ref="L31:O31"/>
    <mergeCell ref="L34:O34"/>
    <mergeCell ref="L37:O37"/>
    <mergeCell ref="L40:O40"/>
    <mergeCell ref="L43:O43"/>
    <mergeCell ref="L46:O46"/>
    <mergeCell ref="L49:O49"/>
    <mergeCell ref="L52:O52"/>
    <mergeCell ref="L55:O55"/>
    <mergeCell ref="L58:O58"/>
    <mergeCell ref="L61:O61"/>
    <mergeCell ref="A46:K46"/>
    <mergeCell ref="A47:K47"/>
    <mergeCell ref="A48:K48"/>
    <mergeCell ref="A49:K49"/>
    <mergeCell ref="A35:K35"/>
    <mergeCell ref="A36:K36"/>
    <mergeCell ref="A50:K50"/>
    <mergeCell ref="A51:K51"/>
    <mergeCell ref="A52:K52"/>
    <mergeCell ref="A53:K53"/>
    <mergeCell ref="A54:K54"/>
    <mergeCell ref="A37:K37"/>
    <mergeCell ref="A38:K38"/>
    <mergeCell ref="A39:K39"/>
    <mergeCell ref="A40:K40"/>
    <mergeCell ref="A41:K41"/>
    <mergeCell ref="A42:K42"/>
    <mergeCell ref="A43:K43"/>
    <mergeCell ref="A44:K44"/>
    <mergeCell ref="A45:K45"/>
    <mergeCell ref="A67:K67"/>
    <mergeCell ref="L67:O67"/>
    <mergeCell ref="P67:S67"/>
    <mergeCell ref="T67:W67"/>
    <mergeCell ref="X67:AA67"/>
    <mergeCell ref="A65:K65"/>
    <mergeCell ref="L65:O65"/>
    <mergeCell ref="P65:S65"/>
    <mergeCell ref="T65:W65"/>
    <mergeCell ref="X65:AA65"/>
    <mergeCell ref="A66:K66"/>
    <mergeCell ref="L66:O66"/>
    <mergeCell ref="P66:S66"/>
    <mergeCell ref="T66:W66"/>
    <mergeCell ref="X66:AA66"/>
    <mergeCell ref="A4:D4"/>
    <mergeCell ref="E4:AA4"/>
    <mergeCell ref="A5:K5"/>
    <mergeCell ref="L5:S5"/>
    <mergeCell ref="T5:AA5"/>
    <mergeCell ref="A1:D3"/>
    <mergeCell ref="E1:W1"/>
    <mergeCell ref="X1:Z1"/>
    <mergeCell ref="E2:W2"/>
    <mergeCell ref="E3:W3"/>
    <mergeCell ref="A6:H6"/>
    <mergeCell ref="I6:O6"/>
    <mergeCell ref="P6:U6"/>
    <mergeCell ref="V6:AA6"/>
    <mergeCell ref="A7:H7"/>
    <mergeCell ref="I7:O7"/>
    <mergeCell ref="P7:U7"/>
    <mergeCell ref="V7:AA7"/>
    <mergeCell ref="X10:AA10"/>
    <mergeCell ref="A11:G11"/>
    <mergeCell ref="H11:K11"/>
    <mergeCell ref="L11:O11"/>
    <mergeCell ref="P11:S11"/>
    <mergeCell ref="T11:W11"/>
    <mergeCell ref="X11:AA11"/>
    <mergeCell ref="A8:H8"/>
    <mergeCell ref="I8:O8"/>
    <mergeCell ref="P8:U8"/>
    <mergeCell ref="V8:AA8"/>
    <mergeCell ref="A9:AA9"/>
    <mergeCell ref="A10:G10"/>
    <mergeCell ref="H10:K10"/>
    <mergeCell ref="L10:O10"/>
    <mergeCell ref="P10:S10"/>
    <mergeCell ref="T10:W10"/>
    <mergeCell ref="A13:G13"/>
    <mergeCell ref="H13:K13"/>
    <mergeCell ref="L13:O13"/>
    <mergeCell ref="P13:S13"/>
    <mergeCell ref="T13:W13"/>
    <mergeCell ref="X13:AA13"/>
    <mergeCell ref="A12:G12"/>
    <mergeCell ref="H12:K12"/>
    <mergeCell ref="L12:O12"/>
    <mergeCell ref="P12:S12"/>
    <mergeCell ref="T12:W12"/>
    <mergeCell ref="X12:AA12"/>
    <mergeCell ref="A14:K14"/>
    <mergeCell ref="L14:O14"/>
    <mergeCell ref="P14:S14"/>
    <mergeCell ref="T14:W14"/>
    <mergeCell ref="X14:AA14"/>
    <mergeCell ref="X19:AA19"/>
    <mergeCell ref="A20:K20"/>
    <mergeCell ref="L20:O20"/>
    <mergeCell ref="P20:S20"/>
    <mergeCell ref="T20:W20"/>
    <mergeCell ref="X20:AA20"/>
    <mergeCell ref="A15:K15"/>
    <mergeCell ref="L15:O15"/>
    <mergeCell ref="P15:S15"/>
    <mergeCell ref="T15:W15"/>
    <mergeCell ref="X15:AA15"/>
    <mergeCell ref="A19:K19"/>
    <mergeCell ref="L19:O19"/>
    <mergeCell ref="P19:S19"/>
    <mergeCell ref="T19:W19"/>
    <mergeCell ref="A16:K16"/>
    <mergeCell ref="L16:O16"/>
    <mergeCell ref="P16:S16"/>
    <mergeCell ref="T16:W16"/>
    <mergeCell ref="T21:W21"/>
    <mergeCell ref="X21:AA21"/>
    <mergeCell ref="A22:K22"/>
    <mergeCell ref="L22:O22"/>
    <mergeCell ref="P22:S22"/>
    <mergeCell ref="T22:W22"/>
    <mergeCell ref="X22:AA22"/>
    <mergeCell ref="A21:K21"/>
    <mergeCell ref="L21:O21"/>
    <mergeCell ref="P21:S21"/>
    <mergeCell ref="A23:K23"/>
    <mergeCell ref="L23:O23"/>
    <mergeCell ref="P23:S23"/>
    <mergeCell ref="T23:W23"/>
    <mergeCell ref="X23:AA23"/>
    <mergeCell ref="A24:K24"/>
    <mergeCell ref="L24:O24"/>
    <mergeCell ref="P24:S24"/>
    <mergeCell ref="T24:W24"/>
    <mergeCell ref="X24:AA24"/>
    <mergeCell ref="T27:W27"/>
    <mergeCell ref="X27:AA27"/>
    <mergeCell ref="A63:K63"/>
    <mergeCell ref="L63:O63"/>
    <mergeCell ref="P63:S63"/>
    <mergeCell ref="T63:W63"/>
    <mergeCell ref="X63:AA63"/>
    <mergeCell ref="A25:K25"/>
    <mergeCell ref="L25:O25"/>
    <mergeCell ref="P25:S25"/>
    <mergeCell ref="T25:W25"/>
    <mergeCell ref="X25:AA25"/>
    <mergeCell ref="A26:K26"/>
    <mergeCell ref="L26:O26"/>
    <mergeCell ref="P26:S26"/>
    <mergeCell ref="T26:W26"/>
    <mergeCell ref="X26:AA26"/>
    <mergeCell ref="A28:K28"/>
    <mergeCell ref="A29:K29"/>
    <mergeCell ref="A30:K30"/>
    <mergeCell ref="A31:K31"/>
    <mergeCell ref="A32:K32"/>
    <mergeCell ref="A33:K33"/>
    <mergeCell ref="A34:K34"/>
    <mergeCell ref="X16:AA16"/>
    <mergeCell ref="A17:K17"/>
    <mergeCell ref="L17:O17"/>
    <mergeCell ref="P17:S17"/>
    <mergeCell ref="T17:W17"/>
    <mergeCell ref="X17:AA17"/>
    <mergeCell ref="A68:K68"/>
    <mergeCell ref="L68:O68"/>
    <mergeCell ref="P68:S68"/>
    <mergeCell ref="T68:W68"/>
    <mergeCell ref="X68:AA68"/>
    <mergeCell ref="A64:K64"/>
    <mergeCell ref="L64:O64"/>
    <mergeCell ref="P64:S64"/>
    <mergeCell ref="T64:W64"/>
    <mergeCell ref="X64:AA64"/>
    <mergeCell ref="A18:K18"/>
    <mergeCell ref="L18:O18"/>
    <mergeCell ref="P18:S18"/>
    <mergeCell ref="T18:W18"/>
    <mergeCell ref="X18:AA18"/>
    <mergeCell ref="A27:K27"/>
    <mergeCell ref="L27:O27"/>
    <mergeCell ref="P27:S27"/>
    <mergeCell ref="A69:K69"/>
    <mergeCell ref="L69:O69"/>
    <mergeCell ref="P69:S69"/>
    <mergeCell ref="T69:W69"/>
    <mergeCell ref="X69:AA69"/>
    <mergeCell ref="A70:K70"/>
    <mergeCell ref="L70:O70"/>
    <mergeCell ref="P70:S70"/>
    <mergeCell ref="T70:W70"/>
    <mergeCell ref="X70:AA70"/>
    <mergeCell ref="A71:K71"/>
    <mergeCell ref="L71:O71"/>
    <mergeCell ref="P71:S71"/>
    <mergeCell ref="T71:W71"/>
    <mergeCell ref="X71:AA71"/>
    <mergeCell ref="A72:K72"/>
    <mergeCell ref="L72:O72"/>
    <mergeCell ref="P72:S72"/>
    <mergeCell ref="T72:W72"/>
    <mergeCell ref="X72:AA72"/>
    <mergeCell ref="A73:K73"/>
    <mergeCell ref="L73:O73"/>
    <mergeCell ref="P73:S73"/>
    <mergeCell ref="T73:W73"/>
    <mergeCell ref="X73:AA73"/>
    <mergeCell ref="A74:K74"/>
    <mergeCell ref="L74:O74"/>
    <mergeCell ref="P74:S74"/>
    <mergeCell ref="T74:W74"/>
    <mergeCell ref="X74:AA74"/>
    <mergeCell ref="A75:K75"/>
    <mergeCell ref="L75:O75"/>
    <mergeCell ref="P75:S75"/>
    <mergeCell ref="T75:W75"/>
    <mergeCell ref="X75:AA75"/>
    <mergeCell ref="A76:K76"/>
    <mergeCell ref="L76:O76"/>
    <mergeCell ref="P76:S76"/>
    <mergeCell ref="T76:W76"/>
    <mergeCell ref="X76:AA76"/>
    <mergeCell ref="A77:K77"/>
    <mergeCell ref="L77:O77"/>
    <mergeCell ref="P77:S77"/>
    <mergeCell ref="T77:W77"/>
    <mergeCell ref="X77:AA77"/>
    <mergeCell ref="A78:K78"/>
    <mergeCell ref="L78:O78"/>
    <mergeCell ref="P78:S78"/>
    <mergeCell ref="T78:W78"/>
    <mergeCell ref="X78:AA78"/>
    <mergeCell ref="A81:K81"/>
    <mergeCell ref="L81:O81"/>
    <mergeCell ref="P81:S81"/>
    <mergeCell ref="T81:W81"/>
    <mergeCell ref="X81:AA81"/>
    <mergeCell ref="A79:K79"/>
    <mergeCell ref="L79:O79"/>
    <mergeCell ref="P79:S79"/>
    <mergeCell ref="T79:W79"/>
    <mergeCell ref="X79:AA79"/>
    <mergeCell ref="A80:K80"/>
    <mergeCell ref="L80:O80"/>
    <mergeCell ref="P80:S80"/>
    <mergeCell ref="T80:W80"/>
    <mergeCell ref="X80:AA80"/>
  </mergeCells>
  <pageMargins left="0.7" right="0.36" top="0.4" bottom="0.28000000000000003" header="0.3" footer="0.24"/>
  <pageSetup paperSize="9" scale="58" orientation="portrait" verticalDpi="20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  <pageSetUpPr fitToPage="1"/>
  </sheetPr>
  <dimension ref="A1:BN30"/>
  <sheetViews>
    <sheetView zoomScaleNormal="100" zoomScaleSheetLayoutView="100" workbookViewId="0">
      <selection activeCell="BD21" sqref="BD21:BH21"/>
    </sheetView>
  </sheetViews>
  <sheetFormatPr defaultRowHeight="14.4"/>
  <cols>
    <col min="1" max="3" width="2.5546875" customWidth="1"/>
    <col min="4" max="4" width="7" customWidth="1"/>
    <col min="5" max="19" width="4.6640625" customWidth="1"/>
    <col min="20" max="20" width="2.44140625" customWidth="1"/>
    <col min="21" max="21" width="4.33203125" customWidth="1"/>
    <col min="22" max="22" width="3.33203125" customWidth="1"/>
    <col min="23" max="25" width="3" customWidth="1"/>
    <col min="26" max="26" width="4.109375" customWidth="1"/>
    <col min="27" max="48" width="3" customWidth="1"/>
    <col min="49" max="49" width="4.109375" customWidth="1"/>
    <col min="50" max="50" width="3" customWidth="1"/>
    <col min="51" max="51" width="5.6640625" customWidth="1"/>
    <col min="52" max="55" width="3.44140625" customWidth="1"/>
    <col min="56" max="57" width="3" customWidth="1"/>
    <col min="58" max="58" width="4" customWidth="1"/>
    <col min="59" max="59" width="3.5546875" customWidth="1"/>
    <col min="60" max="63" width="3" customWidth="1"/>
    <col min="64" max="64" width="2.6640625" customWidth="1"/>
    <col min="66" max="66" width="11.6640625" bestFit="1" customWidth="1"/>
  </cols>
  <sheetData>
    <row r="1" spans="1:64" ht="12.75" customHeight="1" thickTop="1">
      <c r="A1" s="653"/>
      <c r="B1" s="654"/>
      <c r="C1" s="654"/>
      <c r="D1" s="654"/>
      <c r="E1" s="654"/>
      <c r="F1" s="655"/>
      <c r="G1" s="665" t="str">
        <f>Bilgiler!D1</f>
        <v xml:space="preserve">T.C. 
KAHRAMANMARAŞ  SU VE KANALİZASYON İDARESİ GENEL MÜDÜRLÜĞÜ
ABONE İŞLERİ DAİRESİ BAŞKANLIĞI </v>
      </c>
      <c r="H1" s="666"/>
      <c r="I1" s="666"/>
      <c r="J1" s="666"/>
      <c r="K1" s="666"/>
      <c r="L1" s="666"/>
      <c r="M1" s="666"/>
      <c r="N1" s="666"/>
      <c r="O1" s="666"/>
      <c r="P1" s="666"/>
      <c r="Q1" s="666"/>
      <c r="R1" s="666"/>
      <c r="S1" s="666"/>
      <c r="T1" s="666"/>
      <c r="U1" s="667"/>
      <c r="V1" s="674" t="str">
        <f>Bilgiler!D2</f>
        <v>İl Geneli Mobil Okuma Cihazı Kullanarak On-Line ve Off-Line Sayaç Endeks Tespiti, Fatura Dağıtımı,Sayaç Mühürlenmesi, Sayaç Sökme-Takma, Su Kapama veya Su Açma, Sayaç Alımı ve Kaçak Tespiti Hizmeti</v>
      </c>
      <c r="W1" s="675"/>
      <c r="X1" s="675"/>
      <c r="Y1" s="675"/>
      <c r="Z1" s="675"/>
      <c r="AA1" s="675"/>
      <c r="AB1" s="675"/>
      <c r="AC1" s="675"/>
      <c r="AD1" s="675"/>
      <c r="AE1" s="675"/>
      <c r="AF1" s="675"/>
      <c r="AG1" s="675"/>
      <c r="AH1" s="675"/>
      <c r="AI1" s="675"/>
      <c r="AJ1" s="675"/>
      <c r="AK1" s="675"/>
      <c r="AL1" s="675"/>
      <c r="AM1" s="675"/>
      <c r="AN1" s="675"/>
      <c r="AO1" s="675"/>
      <c r="AP1" s="675"/>
      <c r="AQ1" s="675"/>
      <c r="AR1" s="675"/>
      <c r="AS1" s="675"/>
      <c r="AT1" s="675"/>
      <c r="AU1" s="675"/>
      <c r="AV1" s="675"/>
      <c r="AW1" s="675"/>
      <c r="AX1" s="675"/>
      <c r="AY1" s="675"/>
      <c r="AZ1" s="675"/>
      <c r="BA1" s="675"/>
      <c r="BB1" s="675"/>
      <c r="BC1" s="675"/>
      <c r="BD1" s="675"/>
      <c r="BE1" s="675"/>
      <c r="BF1" s="675"/>
      <c r="BG1" s="675"/>
      <c r="BH1" s="675"/>
      <c r="BI1" s="675"/>
      <c r="BJ1" s="675"/>
      <c r="BK1" s="675"/>
      <c r="BL1" s="676"/>
    </row>
    <row r="2" spans="1:64" ht="12.75" customHeight="1">
      <c r="A2" s="656"/>
      <c r="B2" s="657"/>
      <c r="C2" s="657"/>
      <c r="D2" s="657"/>
      <c r="E2" s="657"/>
      <c r="F2" s="658"/>
      <c r="G2" s="668"/>
      <c r="H2" s="669"/>
      <c r="I2" s="669"/>
      <c r="J2" s="669"/>
      <c r="K2" s="669"/>
      <c r="L2" s="669"/>
      <c r="M2" s="669"/>
      <c r="N2" s="669"/>
      <c r="O2" s="669"/>
      <c r="P2" s="669"/>
      <c r="Q2" s="669"/>
      <c r="R2" s="669"/>
      <c r="S2" s="669"/>
      <c r="T2" s="669"/>
      <c r="U2" s="670"/>
      <c r="V2" s="677"/>
      <c r="W2" s="678"/>
      <c r="X2" s="678"/>
      <c r="Y2" s="678"/>
      <c r="Z2" s="678"/>
      <c r="AA2" s="678"/>
      <c r="AB2" s="678"/>
      <c r="AC2" s="678"/>
      <c r="AD2" s="678"/>
      <c r="AE2" s="678"/>
      <c r="AF2" s="678"/>
      <c r="AG2" s="678"/>
      <c r="AH2" s="678"/>
      <c r="AI2" s="678"/>
      <c r="AJ2" s="678"/>
      <c r="AK2" s="678"/>
      <c r="AL2" s="678"/>
      <c r="AM2" s="678"/>
      <c r="AN2" s="678"/>
      <c r="AO2" s="678"/>
      <c r="AP2" s="678"/>
      <c r="AQ2" s="678"/>
      <c r="AR2" s="678"/>
      <c r="AS2" s="678"/>
      <c r="AT2" s="678"/>
      <c r="AU2" s="678"/>
      <c r="AV2" s="678"/>
      <c r="AW2" s="678"/>
      <c r="AX2" s="678"/>
      <c r="AY2" s="678"/>
      <c r="AZ2" s="678"/>
      <c r="BA2" s="678"/>
      <c r="BB2" s="678"/>
      <c r="BC2" s="678"/>
      <c r="BD2" s="678"/>
      <c r="BE2" s="678"/>
      <c r="BF2" s="678"/>
      <c r="BG2" s="678"/>
      <c r="BH2" s="678"/>
      <c r="BI2" s="678"/>
      <c r="BJ2" s="678"/>
      <c r="BK2" s="678"/>
      <c r="BL2" s="679"/>
    </row>
    <row r="3" spans="1:64" ht="12.75" customHeight="1">
      <c r="A3" s="656"/>
      <c r="B3" s="657"/>
      <c r="C3" s="657"/>
      <c r="D3" s="657"/>
      <c r="E3" s="657"/>
      <c r="F3" s="658"/>
      <c r="G3" s="668"/>
      <c r="H3" s="669"/>
      <c r="I3" s="669"/>
      <c r="J3" s="669"/>
      <c r="K3" s="669"/>
      <c r="L3" s="669"/>
      <c r="M3" s="669"/>
      <c r="N3" s="669"/>
      <c r="O3" s="669"/>
      <c r="P3" s="669"/>
      <c r="Q3" s="669"/>
      <c r="R3" s="669"/>
      <c r="S3" s="669"/>
      <c r="T3" s="669"/>
      <c r="U3" s="670"/>
      <c r="V3" s="677"/>
      <c r="W3" s="678"/>
      <c r="X3" s="678"/>
      <c r="Y3" s="678"/>
      <c r="Z3" s="678"/>
      <c r="AA3" s="678"/>
      <c r="AB3" s="678"/>
      <c r="AC3" s="678"/>
      <c r="AD3" s="678"/>
      <c r="AE3" s="678"/>
      <c r="AF3" s="678"/>
      <c r="AG3" s="678"/>
      <c r="AH3" s="678"/>
      <c r="AI3" s="678"/>
      <c r="AJ3" s="678"/>
      <c r="AK3" s="678"/>
      <c r="AL3" s="678"/>
      <c r="AM3" s="678"/>
      <c r="AN3" s="678"/>
      <c r="AO3" s="678"/>
      <c r="AP3" s="678"/>
      <c r="AQ3" s="678"/>
      <c r="AR3" s="678"/>
      <c r="AS3" s="678"/>
      <c r="AT3" s="678"/>
      <c r="AU3" s="678"/>
      <c r="AV3" s="678"/>
      <c r="AW3" s="678"/>
      <c r="AX3" s="678"/>
      <c r="AY3" s="678"/>
      <c r="AZ3" s="678"/>
      <c r="BA3" s="678"/>
      <c r="BB3" s="678"/>
      <c r="BC3" s="678"/>
      <c r="BD3" s="678"/>
      <c r="BE3" s="678"/>
      <c r="BF3" s="678"/>
      <c r="BG3" s="678"/>
      <c r="BH3" s="678"/>
      <c r="BI3" s="678"/>
      <c r="BJ3" s="678"/>
      <c r="BK3" s="678"/>
      <c r="BL3" s="679"/>
    </row>
    <row r="4" spans="1:64" ht="12.75" customHeight="1">
      <c r="A4" s="656"/>
      <c r="B4" s="657"/>
      <c r="C4" s="657"/>
      <c r="D4" s="657"/>
      <c r="E4" s="657"/>
      <c r="F4" s="658"/>
      <c r="G4" s="668"/>
      <c r="H4" s="669"/>
      <c r="I4" s="669"/>
      <c r="J4" s="669"/>
      <c r="K4" s="669"/>
      <c r="L4" s="669"/>
      <c r="M4" s="669"/>
      <c r="N4" s="669"/>
      <c r="O4" s="669"/>
      <c r="P4" s="669"/>
      <c r="Q4" s="669"/>
      <c r="R4" s="669"/>
      <c r="S4" s="669"/>
      <c r="T4" s="669"/>
      <c r="U4" s="670"/>
      <c r="V4" s="677" t="str">
        <f>Bilgiler!D3</f>
        <v>ER-SAN ELEKTRİK İNŞ. TAAH.TİC.LTD.ŞTİ.</v>
      </c>
      <c r="W4" s="678"/>
      <c r="X4" s="678"/>
      <c r="Y4" s="678"/>
      <c r="Z4" s="678"/>
      <c r="AA4" s="678"/>
      <c r="AB4" s="678"/>
      <c r="AC4" s="678"/>
      <c r="AD4" s="678"/>
      <c r="AE4" s="678"/>
      <c r="AF4" s="678"/>
      <c r="AG4" s="678"/>
      <c r="AH4" s="678"/>
      <c r="AI4" s="678"/>
      <c r="AJ4" s="678"/>
      <c r="AK4" s="678"/>
      <c r="AL4" s="678"/>
      <c r="AM4" s="678"/>
      <c r="AN4" s="678"/>
      <c r="AO4" s="678"/>
      <c r="AP4" s="678"/>
      <c r="AQ4" s="678"/>
      <c r="AR4" s="678"/>
      <c r="AS4" s="678"/>
      <c r="AT4" s="678"/>
      <c r="AU4" s="678"/>
      <c r="AV4" s="678"/>
      <c r="AW4" s="678"/>
      <c r="AX4" s="678"/>
      <c r="AY4" s="678"/>
      <c r="AZ4" s="678"/>
      <c r="BA4" s="678"/>
      <c r="BB4" s="678"/>
      <c r="BC4" s="678"/>
      <c r="BD4" s="678"/>
      <c r="BE4" s="678"/>
      <c r="BF4" s="678"/>
      <c r="BG4" s="678"/>
      <c r="BH4" s="678"/>
      <c r="BI4" s="678"/>
      <c r="BJ4" s="678"/>
      <c r="BK4" s="678"/>
      <c r="BL4" s="679"/>
    </row>
    <row r="5" spans="1:64" ht="12.75" customHeight="1">
      <c r="A5" s="656"/>
      <c r="B5" s="657"/>
      <c r="C5" s="657"/>
      <c r="D5" s="657"/>
      <c r="E5" s="657"/>
      <c r="F5" s="658"/>
      <c r="G5" s="668"/>
      <c r="H5" s="669"/>
      <c r="I5" s="669"/>
      <c r="J5" s="669"/>
      <c r="K5" s="669"/>
      <c r="L5" s="669"/>
      <c r="M5" s="669"/>
      <c r="N5" s="669"/>
      <c r="O5" s="669"/>
      <c r="P5" s="669"/>
      <c r="Q5" s="669"/>
      <c r="R5" s="669"/>
      <c r="S5" s="669"/>
      <c r="T5" s="669"/>
      <c r="U5" s="670"/>
      <c r="V5" s="677"/>
      <c r="W5" s="678"/>
      <c r="X5" s="678"/>
      <c r="Y5" s="678"/>
      <c r="Z5" s="678"/>
      <c r="AA5" s="678"/>
      <c r="AB5" s="678"/>
      <c r="AC5" s="678"/>
      <c r="AD5" s="678"/>
      <c r="AE5" s="678"/>
      <c r="AF5" s="678"/>
      <c r="AG5" s="678"/>
      <c r="AH5" s="678"/>
      <c r="AI5" s="678"/>
      <c r="AJ5" s="678"/>
      <c r="AK5" s="678"/>
      <c r="AL5" s="678"/>
      <c r="AM5" s="678"/>
      <c r="AN5" s="678"/>
      <c r="AO5" s="678"/>
      <c r="AP5" s="678"/>
      <c r="AQ5" s="678"/>
      <c r="AR5" s="678"/>
      <c r="AS5" s="678"/>
      <c r="AT5" s="678"/>
      <c r="AU5" s="678"/>
      <c r="AV5" s="678"/>
      <c r="AW5" s="678"/>
      <c r="AX5" s="678"/>
      <c r="AY5" s="678"/>
      <c r="AZ5" s="678"/>
      <c r="BA5" s="678"/>
      <c r="BB5" s="678"/>
      <c r="BC5" s="678"/>
      <c r="BD5" s="678"/>
      <c r="BE5" s="678"/>
      <c r="BF5" s="678"/>
      <c r="BG5" s="678"/>
      <c r="BH5" s="678"/>
      <c r="BI5" s="678"/>
      <c r="BJ5" s="678"/>
      <c r="BK5" s="678"/>
      <c r="BL5" s="679"/>
    </row>
    <row r="6" spans="1:64" ht="12.75" customHeight="1">
      <c r="A6" s="656"/>
      <c r="B6" s="657"/>
      <c r="C6" s="657"/>
      <c r="D6" s="657"/>
      <c r="E6" s="657"/>
      <c r="F6" s="658"/>
      <c r="G6" s="668"/>
      <c r="H6" s="669"/>
      <c r="I6" s="669"/>
      <c r="J6" s="669"/>
      <c r="K6" s="669"/>
      <c r="L6" s="669"/>
      <c r="M6" s="669"/>
      <c r="N6" s="669"/>
      <c r="O6" s="669"/>
      <c r="P6" s="669"/>
      <c r="Q6" s="669"/>
      <c r="R6" s="669"/>
      <c r="S6" s="669"/>
      <c r="T6" s="669"/>
      <c r="U6" s="670"/>
      <c r="V6" s="680"/>
      <c r="W6" s="681"/>
      <c r="X6" s="681"/>
      <c r="Y6" s="681"/>
      <c r="Z6" s="681"/>
      <c r="AA6" s="681"/>
      <c r="AB6" s="681"/>
      <c r="AC6" s="681"/>
      <c r="AD6" s="681"/>
      <c r="AE6" s="681"/>
      <c r="AF6" s="681"/>
      <c r="AG6" s="681"/>
      <c r="AH6" s="681"/>
      <c r="AI6" s="681"/>
      <c r="AJ6" s="681"/>
      <c r="AK6" s="681"/>
      <c r="AL6" s="681"/>
      <c r="AM6" s="681"/>
      <c r="AN6" s="681"/>
      <c r="AO6" s="681"/>
      <c r="AP6" s="681"/>
      <c r="AQ6" s="681"/>
      <c r="AR6" s="681"/>
      <c r="AS6" s="681"/>
      <c r="AT6" s="681"/>
      <c r="AU6" s="681"/>
      <c r="AV6" s="681"/>
      <c r="AW6" s="681"/>
      <c r="AX6" s="681"/>
      <c r="AY6" s="681"/>
      <c r="AZ6" s="681"/>
      <c r="BA6" s="681"/>
      <c r="BB6" s="681"/>
      <c r="BC6" s="681"/>
      <c r="BD6" s="681"/>
      <c r="BE6" s="681"/>
      <c r="BF6" s="681"/>
      <c r="BG6" s="681"/>
      <c r="BH6" s="681"/>
      <c r="BI6" s="681"/>
      <c r="BJ6" s="681"/>
      <c r="BK6" s="681"/>
      <c r="BL6" s="682"/>
    </row>
    <row r="7" spans="1:64" ht="12.75" customHeight="1">
      <c r="A7" s="656"/>
      <c r="B7" s="657"/>
      <c r="C7" s="657"/>
      <c r="D7" s="657"/>
      <c r="E7" s="657"/>
      <c r="F7" s="658"/>
      <c r="G7" s="668"/>
      <c r="H7" s="669"/>
      <c r="I7" s="669"/>
      <c r="J7" s="669"/>
      <c r="K7" s="669"/>
      <c r="L7" s="669"/>
      <c r="M7" s="669"/>
      <c r="N7" s="669"/>
      <c r="O7" s="669"/>
      <c r="P7" s="669"/>
      <c r="Q7" s="669"/>
      <c r="R7" s="669"/>
      <c r="S7" s="669"/>
      <c r="T7" s="669"/>
      <c r="U7" s="670"/>
      <c r="V7" s="639" t="s">
        <v>113</v>
      </c>
      <c r="W7" s="640"/>
      <c r="X7" s="640"/>
      <c r="Y7" s="640"/>
      <c r="Z7" s="640"/>
      <c r="AA7" s="640"/>
      <c r="AB7" s="640"/>
      <c r="AC7" s="640"/>
      <c r="AD7" s="640"/>
      <c r="AE7" s="640"/>
      <c r="AF7" s="640"/>
      <c r="AG7" s="640"/>
      <c r="AH7" s="640"/>
      <c r="AI7" s="640"/>
      <c r="AJ7" s="640"/>
      <c r="AK7" s="640"/>
      <c r="AL7" s="640"/>
      <c r="AM7" s="640"/>
      <c r="AN7" s="640"/>
      <c r="AO7" s="640"/>
      <c r="AP7" s="640"/>
      <c r="AQ7" s="640"/>
      <c r="AR7" s="640"/>
      <c r="AS7" s="640"/>
      <c r="AT7" s="640"/>
      <c r="AU7" s="640"/>
      <c r="AV7" s="640"/>
      <c r="AW7" s="640"/>
      <c r="AX7" s="641"/>
      <c r="AY7" s="645" t="s">
        <v>9</v>
      </c>
      <c r="AZ7" s="645"/>
      <c r="BA7" s="645"/>
      <c r="BB7" s="645"/>
      <c r="BC7" s="645"/>
      <c r="BD7" s="645"/>
      <c r="BE7" s="645"/>
      <c r="BF7" s="646">
        <f>Bilgiler!D10</f>
        <v>4</v>
      </c>
      <c r="BG7" s="646"/>
      <c r="BH7" s="646"/>
      <c r="BI7" s="646"/>
      <c r="BJ7" s="646"/>
      <c r="BK7" s="646"/>
      <c r="BL7" s="647"/>
    </row>
    <row r="8" spans="1:64" ht="12.75" customHeight="1">
      <c r="A8" s="659"/>
      <c r="B8" s="660"/>
      <c r="C8" s="660"/>
      <c r="D8" s="660"/>
      <c r="E8" s="660"/>
      <c r="F8" s="661"/>
      <c r="G8" s="671"/>
      <c r="H8" s="672"/>
      <c r="I8" s="672"/>
      <c r="J8" s="672"/>
      <c r="K8" s="672"/>
      <c r="L8" s="672"/>
      <c r="M8" s="672"/>
      <c r="N8" s="672"/>
      <c r="O8" s="672"/>
      <c r="P8" s="672"/>
      <c r="Q8" s="672"/>
      <c r="R8" s="672"/>
      <c r="S8" s="672"/>
      <c r="T8" s="672"/>
      <c r="U8" s="673"/>
      <c r="V8" s="642"/>
      <c r="W8" s="643"/>
      <c r="X8" s="643"/>
      <c r="Y8" s="643"/>
      <c r="Z8" s="643"/>
      <c r="AA8" s="643"/>
      <c r="AB8" s="643"/>
      <c r="AC8" s="643"/>
      <c r="AD8" s="643"/>
      <c r="AE8" s="643"/>
      <c r="AF8" s="643"/>
      <c r="AG8" s="643"/>
      <c r="AH8" s="643"/>
      <c r="AI8" s="643"/>
      <c r="AJ8" s="643"/>
      <c r="AK8" s="643"/>
      <c r="AL8" s="643"/>
      <c r="AM8" s="643"/>
      <c r="AN8" s="643"/>
      <c r="AO8" s="643"/>
      <c r="AP8" s="643"/>
      <c r="AQ8" s="643"/>
      <c r="AR8" s="643"/>
      <c r="AS8" s="643"/>
      <c r="AT8" s="643"/>
      <c r="AU8" s="643"/>
      <c r="AV8" s="643"/>
      <c r="AW8" s="643"/>
      <c r="AX8" s="644"/>
      <c r="AY8" s="645" t="s">
        <v>20</v>
      </c>
      <c r="AZ8" s="645"/>
      <c r="BA8" s="645"/>
      <c r="BB8" s="645"/>
      <c r="BC8" s="645"/>
      <c r="BD8" s="645"/>
      <c r="BE8" s="645"/>
      <c r="BF8" s="646">
        <v>1</v>
      </c>
      <c r="BG8" s="646"/>
      <c r="BH8" s="646"/>
      <c r="BI8" s="646"/>
      <c r="BJ8" s="646"/>
      <c r="BK8" s="646"/>
      <c r="BL8" s="647"/>
    </row>
    <row r="9" spans="1:64" ht="15.75" customHeight="1">
      <c r="A9" s="683" t="s">
        <v>48</v>
      </c>
      <c r="B9" s="507"/>
      <c r="C9" s="507"/>
      <c r="D9" s="507"/>
      <c r="E9" s="507" t="s">
        <v>114</v>
      </c>
      <c r="F9" s="507"/>
      <c r="G9" s="507"/>
      <c r="H9" s="507"/>
      <c r="I9" s="507"/>
      <c r="J9" s="507"/>
      <c r="K9" s="507"/>
      <c r="L9" s="507"/>
      <c r="M9" s="507"/>
      <c r="N9" s="507"/>
      <c r="O9" s="507"/>
      <c r="P9" s="507"/>
      <c r="Q9" s="507"/>
      <c r="R9" s="507"/>
      <c r="S9" s="507"/>
      <c r="T9" s="507"/>
      <c r="U9" s="691" t="s">
        <v>115</v>
      </c>
      <c r="V9" s="691"/>
      <c r="W9" s="662" t="s">
        <v>116</v>
      </c>
      <c r="X9" s="662"/>
      <c r="Y9" s="662"/>
      <c r="Z9" s="662"/>
      <c r="AA9" s="662" t="s">
        <v>117</v>
      </c>
      <c r="AB9" s="662"/>
      <c r="AC9" s="662"/>
      <c r="AD9" s="662"/>
      <c r="AE9" s="662" t="s">
        <v>31</v>
      </c>
      <c r="AF9" s="662"/>
      <c r="AG9" s="662"/>
      <c r="AH9" s="662"/>
      <c r="AI9" s="662"/>
      <c r="AJ9" s="662" t="s">
        <v>118</v>
      </c>
      <c r="AK9" s="662"/>
      <c r="AL9" s="662"/>
      <c r="AM9" s="662"/>
      <c r="AN9" s="162" t="s">
        <v>152</v>
      </c>
      <c r="AO9" s="685"/>
      <c r="AP9" s="685"/>
      <c r="AQ9" s="163"/>
      <c r="AR9" s="162" t="s">
        <v>153</v>
      </c>
      <c r="AS9" s="685"/>
      <c r="AT9" s="685"/>
      <c r="AU9" s="163"/>
      <c r="AV9" s="162" t="s">
        <v>154</v>
      </c>
      <c r="AW9" s="685"/>
      <c r="AX9" s="685"/>
      <c r="AY9" s="163"/>
      <c r="AZ9" s="662" t="s">
        <v>119</v>
      </c>
      <c r="BA9" s="662"/>
      <c r="BB9" s="662"/>
      <c r="BC9" s="662"/>
      <c r="BD9" s="662" t="s">
        <v>161</v>
      </c>
      <c r="BE9" s="662"/>
      <c r="BF9" s="662"/>
      <c r="BG9" s="662"/>
      <c r="BH9" s="662"/>
      <c r="BI9" s="662" t="s">
        <v>120</v>
      </c>
      <c r="BJ9" s="662"/>
      <c r="BK9" s="662"/>
      <c r="BL9" s="684"/>
    </row>
    <row r="10" spans="1:64" ht="15.75" customHeight="1">
      <c r="A10" s="683"/>
      <c r="B10" s="507"/>
      <c r="C10" s="507"/>
      <c r="D10" s="507"/>
      <c r="E10" s="507"/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691"/>
      <c r="V10" s="691"/>
      <c r="W10" s="662"/>
      <c r="X10" s="662"/>
      <c r="Y10" s="662"/>
      <c r="Z10" s="662"/>
      <c r="AA10" s="662"/>
      <c r="AB10" s="662"/>
      <c r="AC10" s="662"/>
      <c r="AD10" s="662"/>
      <c r="AE10" s="662"/>
      <c r="AF10" s="662"/>
      <c r="AG10" s="662"/>
      <c r="AH10" s="662"/>
      <c r="AI10" s="662"/>
      <c r="AJ10" s="662"/>
      <c r="AK10" s="662"/>
      <c r="AL10" s="662"/>
      <c r="AM10" s="662"/>
      <c r="AN10" s="686"/>
      <c r="AO10" s="687"/>
      <c r="AP10" s="687"/>
      <c r="AQ10" s="688"/>
      <c r="AR10" s="686"/>
      <c r="AS10" s="687"/>
      <c r="AT10" s="687"/>
      <c r="AU10" s="688"/>
      <c r="AV10" s="686"/>
      <c r="AW10" s="687"/>
      <c r="AX10" s="687"/>
      <c r="AY10" s="688"/>
      <c r="AZ10" s="662"/>
      <c r="BA10" s="662"/>
      <c r="BB10" s="662"/>
      <c r="BC10" s="662"/>
      <c r="BD10" s="662"/>
      <c r="BE10" s="662"/>
      <c r="BF10" s="662"/>
      <c r="BG10" s="662"/>
      <c r="BH10" s="662"/>
      <c r="BI10" s="662"/>
      <c r="BJ10" s="662"/>
      <c r="BK10" s="662"/>
      <c r="BL10" s="684"/>
    </row>
    <row r="11" spans="1:64" ht="15.75" customHeight="1">
      <c r="A11" s="683"/>
      <c r="B11" s="507"/>
      <c r="C11" s="507"/>
      <c r="D11" s="507"/>
      <c r="E11" s="507"/>
      <c r="F11" s="507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691"/>
      <c r="V11" s="691"/>
      <c r="W11" s="662"/>
      <c r="X11" s="662"/>
      <c r="Y11" s="662"/>
      <c r="Z11" s="662"/>
      <c r="AA11" s="662"/>
      <c r="AB11" s="662"/>
      <c r="AC11" s="662"/>
      <c r="AD11" s="662"/>
      <c r="AE11" s="662"/>
      <c r="AF11" s="662"/>
      <c r="AG11" s="662"/>
      <c r="AH11" s="662"/>
      <c r="AI11" s="662"/>
      <c r="AJ11" s="662"/>
      <c r="AK11" s="662"/>
      <c r="AL11" s="662"/>
      <c r="AM11" s="662"/>
      <c r="AN11" s="686"/>
      <c r="AO11" s="687"/>
      <c r="AP11" s="687"/>
      <c r="AQ11" s="688"/>
      <c r="AR11" s="686"/>
      <c r="AS11" s="687"/>
      <c r="AT11" s="687"/>
      <c r="AU11" s="688"/>
      <c r="AV11" s="686"/>
      <c r="AW11" s="687"/>
      <c r="AX11" s="687"/>
      <c r="AY11" s="688"/>
      <c r="AZ11" s="662"/>
      <c r="BA11" s="662"/>
      <c r="BB11" s="662"/>
      <c r="BC11" s="662"/>
      <c r="BD11" s="662"/>
      <c r="BE11" s="662"/>
      <c r="BF11" s="662"/>
      <c r="BG11" s="662"/>
      <c r="BH11" s="662"/>
      <c r="BI11" s="662"/>
      <c r="BJ11" s="662"/>
      <c r="BK11" s="662"/>
      <c r="BL11" s="684"/>
    </row>
    <row r="12" spans="1:64" ht="15.75" customHeight="1">
      <c r="A12" s="683"/>
      <c r="B12" s="507"/>
      <c r="C12" s="507"/>
      <c r="D12" s="507"/>
      <c r="E12" s="507"/>
      <c r="F12" s="507"/>
      <c r="G12" s="507"/>
      <c r="H12" s="507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691"/>
      <c r="V12" s="691"/>
      <c r="W12" s="662"/>
      <c r="X12" s="662"/>
      <c r="Y12" s="662"/>
      <c r="Z12" s="662"/>
      <c r="AA12" s="662"/>
      <c r="AB12" s="662"/>
      <c r="AC12" s="662"/>
      <c r="AD12" s="662"/>
      <c r="AE12" s="662"/>
      <c r="AF12" s="662"/>
      <c r="AG12" s="662"/>
      <c r="AH12" s="662"/>
      <c r="AI12" s="662"/>
      <c r="AJ12" s="662"/>
      <c r="AK12" s="662"/>
      <c r="AL12" s="662"/>
      <c r="AM12" s="662"/>
      <c r="AN12" s="164"/>
      <c r="AO12" s="689"/>
      <c r="AP12" s="689"/>
      <c r="AQ12" s="165"/>
      <c r="AR12" s="164"/>
      <c r="AS12" s="689"/>
      <c r="AT12" s="689"/>
      <c r="AU12" s="165"/>
      <c r="AV12" s="164"/>
      <c r="AW12" s="689"/>
      <c r="AX12" s="689"/>
      <c r="AY12" s="165"/>
      <c r="AZ12" s="662"/>
      <c r="BA12" s="662"/>
      <c r="BB12" s="662"/>
      <c r="BC12" s="662"/>
      <c r="BD12" s="662"/>
      <c r="BE12" s="662"/>
      <c r="BF12" s="662"/>
      <c r="BG12" s="662"/>
      <c r="BH12" s="662"/>
      <c r="BI12" s="662"/>
      <c r="BJ12" s="662"/>
      <c r="BK12" s="662"/>
      <c r="BL12" s="684"/>
    </row>
    <row r="13" spans="1:64" ht="16.5" customHeight="1">
      <c r="A13" s="663"/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4"/>
      <c r="N13" s="664"/>
      <c r="O13" s="664"/>
      <c r="P13" s="664"/>
      <c r="Q13" s="664"/>
      <c r="R13" s="664"/>
      <c r="S13" s="664"/>
      <c r="T13" s="664"/>
      <c r="U13" s="664"/>
      <c r="V13" s="664"/>
      <c r="W13" s="507">
        <v>1</v>
      </c>
      <c r="X13" s="507"/>
      <c r="Y13" s="507"/>
      <c r="Z13" s="507"/>
      <c r="AA13" s="507">
        <v>2</v>
      </c>
      <c r="AB13" s="507"/>
      <c r="AC13" s="507"/>
      <c r="AD13" s="507"/>
      <c r="AE13" s="507" t="s">
        <v>121</v>
      </c>
      <c r="AF13" s="507"/>
      <c r="AG13" s="507"/>
      <c r="AH13" s="507"/>
      <c r="AI13" s="507"/>
      <c r="AJ13" s="507">
        <v>4</v>
      </c>
      <c r="AK13" s="507"/>
      <c r="AL13" s="507"/>
      <c r="AM13" s="507"/>
      <c r="AN13" s="651">
        <v>5</v>
      </c>
      <c r="AO13" s="506"/>
      <c r="AP13" s="506"/>
      <c r="AQ13" s="652"/>
      <c r="AR13" s="651" t="s">
        <v>155</v>
      </c>
      <c r="AS13" s="506"/>
      <c r="AT13" s="506"/>
      <c r="AU13" s="652"/>
      <c r="AV13" s="651" t="s">
        <v>156</v>
      </c>
      <c r="AW13" s="506"/>
      <c r="AX13" s="506"/>
      <c r="AY13" s="652"/>
      <c r="AZ13" s="507" t="s">
        <v>162</v>
      </c>
      <c r="BA13" s="507"/>
      <c r="BB13" s="507"/>
      <c r="BC13" s="507"/>
      <c r="BD13" s="507" t="s">
        <v>157</v>
      </c>
      <c r="BE13" s="507"/>
      <c r="BF13" s="507"/>
      <c r="BG13" s="507"/>
      <c r="BH13" s="507"/>
      <c r="BI13" s="664"/>
      <c r="BJ13" s="664"/>
      <c r="BK13" s="664"/>
      <c r="BL13" s="690"/>
    </row>
    <row r="14" spans="1:64" ht="45" customHeight="1">
      <c r="A14" s="624" t="str">
        <f>BFTC!B5</f>
        <v>KASKİ-01</v>
      </c>
      <c r="B14" s="625"/>
      <c r="C14" s="625"/>
      <c r="D14" s="626"/>
      <c r="E14" s="627" t="str">
        <f>BFTC!C5</f>
        <v>Sayaç Endekslerinin Okunması, Mobil Okuma Cihazı İle Tespiti ve Makbuz Dağıtılması İşlemi</v>
      </c>
      <c r="F14" s="628"/>
      <c r="G14" s="628"/>
      <c r="H14" s="628"/>
      <c r="I14" s="628"/>
      <c r="J14" s="628"/>
      <c r="K14" s="628"/>
      <c r="L14" s="628"/>
      <c r="M14" s="628"/>
      <c r="N14" s="628"/>
      <c r="O14" s="628"/>
      <c r="P14" s="628"/>
      <c r="Q14" s="628"/>
      <c r="R14" s="628"/>
      <c r="S14" s="628"/>
      <c r="T14" s="629"/>
      <c r="U14" s="630" t="str">
        <f>+BFTC!D5</f>
        <v>Adet</v>
      </c>
      <c r="V14" s="631"/>
      <c r="W14" s="619">
        <f>+BFTC!E5</f>
        <v>1000000</v>
      </c>
      <c r="X14" s="619"/>
      <c r="Y14" s="619"/>
      <c r="Z14" s="619"/>
      <c r="AA14" s="619">
        <f>+BFTC!F5</f>
        <v>40</v>
      </c>
      <c r="AB14" s="619"/>
      <c r="AC14" s="619"/>
      <c r="AD14" s="619"/>
      <c r="AE14" s="632">
        <f>AA14*W14</f>
        <v>40000000</v>
      </c>
      <c r="AF14" s="632"/>
      <c r="AG14" s="632"/>
      <c r="AH14" s="632"/>
      <c r="AI14" s="632"/>
      <c r="AJ14" s="619">
        <f>IF(+A14=0,0,HLOOKUP(A14,İcmal!$E$8:$BH$52,43,0))</f>
        <v>0</v>
      </c>
      <c r="AK14" s="619"/>
      <c r="AL14" s="619"/>
      <c r="AM14" s="619"/>
      <c r="AN14" s="619">
        <f>IF(+A14=0,0,HLOOKUP(A14,İcmal!$E$8:$BH$52,17,0))</f>
        <v>249153</v>
      </c>
      <c r="AO14" s="619"/>
      <c r="AP14" s="619"/>
      <c r="AQ14" s="619"/>
      <c r="AR14" s="619">
        <f>AJ14+AN14</f>
        <v>249153</v>
      </c>
      <c r="AS14" s="619"/>
      <c r="AT14" s="619"/>
      <c r="AU14" s="619"/>
      <c r="AV14" s="633">
        <f>AA14*AJ14</f>
        <v>0</v>
      </c>
      <c r="AW14" s="634"/>
      <c r="AX14" s="634"/>
      <c r="AY14" s="635"/>
      <c r="AZ14" s="636">
        <f t="shared" ref="AZ14" si="0">IF(AE14=0,0,(BD14/AE14))</f>
        <v>0.2492</v>
      </c>
      <c r="BA14" s="637"/>
      <c r="BB14" s="637"/>
      <c r="BC14" s="638"/>
      <c r="BD14" s="619">
        <f>AA14*AR14</f>
        <v>9966120</v>
      </c>
      <c r="BE14" s="619"/>
      <c r="BF14" s="619"/>
      <c r="BG14" s="619"/>
      <c r="BH14" s="619"/>
      <c r="BI14" s="619"/>
      <c r="BJ14" s="619"/>
      <c r="BK14" s="619"/>
      <c r="BL14" s="620"/>
    </row>
    <row r="15" spans="1:64" ht="45" customHeight="1">
      <c r="A15" s="624" t="str">
        <f>BFTC!B6</f>
        <v>KASKİ-02</v>
      </c>
      <c r="B15" s="625"/>
      <c r="C15" s="625"/>
      <c r="D15" s="626"/>
      <c r="E15" s="627" t="str">
        <f>BFTC!C6</f>
        <v>Sayaç Endekslerinin Yerinde Yapılan Kontrollerde Tespit Edilememesi (kıyas okuma veya evde yok okuma) İşlemi</v>
      </c>
      <c r="F15" s="628"/>
      <c r="G15" s="628"/>
      <c r="H15" s="628"/>
      <c r="I15" s="628"/>
      <c r="J15" s="628"/>
      <c r="K15" s="628"/>
      <c r="L15" s="628"/>
      <c r="M15" s="628"/>
      <c r="N15" s="628"/>
      <c r="O15" s="628"/>
      <c r="P15" s="628"/>
      <c r="Q15" s="628"/>
      <c r="R15" s="628"/>
      <c r="S15" s="628"/>
      <c r="T15" s="629"/>
      <c r="U15" s="630" t="str">
        <f>+BFTC!D6</f>
        <v>Adet</v>
      </c>
      <c r="V15" s="631"/>
      <c r="W15" s="619">
        <f>+BFTC!E6</f>
        <v>50000</v>
      </c>
      <c r="X15" s="619"/>
      <c r="Y15" s="619"/>
      <c r="Z15" s="619"/>
      <c r="AA15" s="619">
        <f>+BFTC!F6</f>
        <v>20</v>
      </c>
      <c r="AB15" s="619"/>
      <c r="AC15" s="619"/>
      <c r="AD15" s="619"/>
      <c r="AE15" s="632">
        <f t="shared" ref="AE15:AE18" si="1">AA15*W15</f>
        <v>1000000</v>
      </c>
      <c r="AF15" s="632"/>
      <c r="AG15" s="632"/>
      <c r="AH15" s="632"/>
      <c r="AI15" s="632"/>
      <c r="AJ15" s="619">
        <f>IF(+A15=0,0,HLOOKUP(A15,İcmal!$E$8:$BH$52,43,0))</f>
        <v>0</v>
      </c>
      <c r="AK15" s="619"/>
      <c r="AL15" s="619"/>
      <c r="AM15" s="619"/>
      <c r="AN15" s="633">
        <f>IF(+A15=0,0,HLOOKUP(A15,İcmal!$E$8:$BH$52,17,0))</f>
        <v>26758</v>
      </c>
      <c r="AO15" s="634"/>
      <c r="AP15" s="634"/>
      <c r="AQ15" s="635"/>
      <c r="AR15" s="619">
        <f t="shared" ref="AR15:AR18" si="2">AJ15+AN15</f>
        <v>26758</v>
      </c>
      <c r="AS15" s="619"/>
      <c r="AT15" s="619"/>
      <c r="AU15" s="619"/>
      <c r="AV15" s="633">
        <f t="shared" ref="AV15:AV18" si="3">AA15*AJ15</f>
        <v>0</v>
      </c>
      <c r="AW15" s="634"/>
      <c r="AX15" s="634"/>
      <c r="AY15" s="635"/>
      <c r="AZ15" s="636">
        <f t="shared" ref="AZ15:AZ18" si="4">IF(AE15=0,0,(BD15/AE15))</f>
        <v>0.53520000000000001</v>
      </c>
      <c r="BA15" s="637"/>
      <c r="BB15" s="637"/>
      <c r="BC15" s="638"/>
      <c r="BD15" s="619">
        <f t="shared" ref="BD15:BD18" si="5">AA15*AR15</f>
        <v>535160</v>
      </c>
      <c r="BE15" s="619"/>
      <c r="BF15" s="619"/>
      <c r="BG15" s="619"/>
      <c r="BH15" s="619"/>
      <c r="BI15" s="619"/>
      <c r="BJ15" s="619"/>
      <c r="BK15" s="619"/>
      <c r="BL15" s="620"/>
    </row>
    <row r="16" spans="1:64" ht="45" customHeight="1">
      <c r="A16" s="624" t="str">
        <f>BFTC!B7</f>
        <v>KASKİ-03</v>
      </c>
      <c r="B16" s="625"/>
      <c r="C16" s="625"/>
      <c r="D16" s="626"/>
      <c r="E16" s="627" t="str">
        <f>BFTC!C7</f>
        <v>Mühürsüz Sayaçların Mühürlemesi</v>
      </c>
      <c r="F16" s="628"/>
      <c r="G16" s="628"/>
      <c r="H16" s="628"/>
      <c r="I16" s="628"/>
      <c r="J16" s="628"/>
      <c r="K16" s="628"/>
      <c r="L16" s="628"/>
      <c r="M16" s="628"/>
      <c r="N16" s="628"/>
      <c r="O16" s="628"/>
      <c r="P16" s="628"/>
      <c r="Q16" s="628"/>
      <c r="R16" s="628"/>
      <c r="S16" s="628"/>
      <c r="T16" s="629"/>
      <c r="U16" s="630" t="str">
        <f>+BFTC!D7</f>
        <v>Adet</v>
      </c>
      <c r="V16" s="631"/>
      <c r="W16" s="619">
        <f>+BFTC!E7</f>
        <v>20000</v>
      </c>
      <c r="X16" s="619"/>
      <c r="Y16" s="619"/>
      <c r="Z16" s="619"/>
      <c r="AA16" s="619">
        <f>+BFTC!F7</f>
        <v>50</v>
      </c>
      <c r="AB16" s="619"/>
      <c r="AC16" s="619"/>
      <c r="AD16" s="619"/>
      <c r="AE16" s="632">
        <f t="shared" si="1"/>
        <v>1000000</v>
      </c>
      <c r="AF16" s="632"/>
      <c r="AG16" s="632"/>
      <c r="AH16" s="632"/>
      <c r="AI16" s="632"/>
      <c r="AJ16" s="619">
        <f>IF(+A16=0,0,HLOOKUP(A16,İcmal!$E$8:$BH$52,43,0))</f>
        <v>0</v>
      </c>
      <c r="AK16" s="619"/>
      <c r="AL16" s="619"/>
      <c r="AM16" s="619"/>
      <c r="AN16" s="633">
        <f>IF(+A16=0,0,HLOOKUP(A16,İcmal!$E$8:$BH$52,17,0))</f>
        <v>0</v>
      </c>
      <c r="AO16" s="634"/>
      <c r="AP16" s="634"/>
      <c r="AQ16" s="635"/>
      <c r="AR16" s="619">
        <f t="shared" si="2"/>
        <v>0</v>
      </c>
      <c r="AS16" s="619"/>
      <c r="AT16" s="619"/>
      <c r="AU16" s="619"/>
      <c r="AV16" s="633">
        <f t="shared" si="3"/>
        <v>0</v>
      </c>
      <c r="AW16" s="634"/>
      <c r="AX16" s="634"/>
      <c r="AY16" s="635"/>
      <c r="AZ16" s="636">
        <f t="shared" si="4"/>
        <v>0</v>
      </c>
      <c r="BA16" s="637"/>
      <c r="BB16" s="637"/>
      <c r="BC16" s="638"/>
      <c r="BD16" s="619">
        <f t="shared" si="5"/>
        <v>0</v>
      </c>
      <c r="BE16" s="619"/>
      <c r="BF16" s="619"/>
      <c r="BG16" s="619"/>
      <c r="BH16" s="619"/>
      <c r="BI16" s="619"/>
      <c r="BJ16" s="619"/>
      <c r="BK16" s="619"/>
      <c r="BL16" s="620"/>
    </row>
    <row r="17" spans="1:66" ht="45" customHeight="1">
      <c r="A17" s="624" t="str">
        <f>BFTC!B8</f>
        <v>KASKİ-04</v>
      </c>
      <c r="B17" s="625"/>
      <c r="C17" s="625"/>
      <c r="D17" s="626"/>
      <c r="E17" s="627" t="str">
        <f>BFTC!C8</f>
        <v>Sayaç Sökme ve Sayaç Takma</v>
      </c>
      <c r="F17" s="628"/>
      <c r="G17" s="628"/>
      <c r="H17" s="628"/>
      <c r="I17" s="628"/>
      <c r="J17" s="628"/>
      <c r="K17" s="628"/>
      <c r="L17" s="628"/>
      <c r="M17" s="628"/>
      <c r="N17" s="628"/>
      <c r="O17" s="628"/>
      <c r="P17" s="628"/>
      <c r="Q17" s="628"/>
      <c r="R17" s="628"/>
      <c r="S17" s="628"/>
      <c r="T17" s="629"/>
      <c r="U17" s="630" t="str">
        <f>+BFTC!D8</f>
        <v>Adet</v>
      </c>
      <c r="V17" s="631"/>
      <c r="W17" s="619">
        <f>+BFTC!E8</f>
        <v>40000</v>
      </c>
      <c r="X17" s="619"/>
      <c r="Y17" s="619"/>
      <c r="Z17" s="619"/>
      <c r="AA17" s="619">
        <f>+BFTC!F8</f>
        <v>280</v>
      </c>
      <c r="AB17" s="619"/>
      <c r="AC17" s="619"/>
      <c r="AD17" s="619"/>
      <c r="AE17" s="632">
        <f t="shared" si="1"/>
        <v>11200000</v>
      </c>
      <c r="AF17" s="632"/>
      <c r="AG17" s="632"/>
      <c r="AH17" s="632"/>
      <c r="AI17" s="632"/>
      <c r="AJ17" s="619">
        <f>IF(+A17=0,0,HLOOKUP(A17,İcmal!$E$8:$BH$52,43,0))</f>
        <v>0</v>
      </c>
      <c r="AK17" s="619"/>
      <c r="AL17" s="619"/>
      <c r="AM17" s="619"/>
      <c r="AN17" s="633">
        <f>IF(+A17=0,0,HLOOKUP(A17,İcmal!$E$8:$BH$52,17,0))</f>
        <v>3017</v>
      </c>
      <c r="AO17" s="634"/>
      <c r="AP17" s="634"/>
      <c r="AQ17" s="635"/>
      <c r="AR17" s="619">
        <f t="shared" si="2"/>
        <v>3017</v>
      </c>
      <c r="AS17" s="619"/>
      <c r="AT17" s="619"/>
      <c r="AU17" s="619"/>
      <c r="AV17" s="633">
        <f t="shared" si="3"/>
        <v>0</v>
      </c>
      <c r="AW17" s="634"/>
      <c r="AX17" s="634"/>
      <c r="AY17" s="635"/>
      <c r="AZ17" s="636">
        <f t="shared" si="4"/>
        <v>7.5399999999999995E-2</v>
      </c>
      <c r="BA17" s="637"/>
      <c r="BB17" s="637"/>
      <c r="BC17" s="638"/>
      <c r="BD17" s="619">
        <f t="shared" si="5"/>
        <v>844760</v>
      </c>
      <c r="BE17" s="619"/>
      <c r="BF17" s="619"/>
      <c r="BG17" s="619"/>
      <c r="BH17" s="619"/>
      <c r="BI17" s="648"/>
      <c r="BJ17" s="649"/>
      <c r="BK17" s="649"/>
      <c r="BL17" s="650"/>
    </row>
    <row r="18" spans="1:66" ht="45" customHeight="1">
      <c r="A18" s="624" t="str">
        <f>BFTC!B9</f>
        <v>KASKİ-05</v>
      </c>
      <c r="B18" s="625"/>
      <c r="C18" s="625"/>
      <c r="D18" s="626"/>
      <c r="E18" s="627" t="str">
        <f>BFTC!C9</f>
        <v>Su Kapama veya Su Açma</v>
      </c>
      <c r="F18" s="628"/>
      <c r="G18" s="628"/>
      <c r="H18" s="628"/>
      <c r="I18" s="628"/>
      <c r="J18" s="628"/>
      <c r="K18" s="628"/>
      <c r="L18" s="628"/>
      <c r="M18" s="628"/>
      <c r="N18" s="628"/>
      <c r="O18" s="628"/>
      <c r="P18" s="628"/>
      <c r="Q18" s="628"/>
      <c r="R18" s="628"/>
      <c r="S18" s="628"/>
      <c r="T18" s="629"/>
      <c r="U18" s="630" t="str">
        <f>+BFTC!D9</f>
        <v>Adet</v>
      </c>
      <c r="V18" s="631"/>
      <c r="W18" s="619">
        <f>+BFTC!E9</f>
        <v>140000</v>
      </c>
      <c r="X18" s="619"/>
      <c r="Y18" s="619"/>
      <c r="Z18" s="619"/>
      <c r="AA18" s="619">
        <f>+BFTC!F9</f>
        <v>200</v>
      </c>
      <c r="AB18" s="619"/>
      <c r="AC18" s="619"/>
      <c r="AD18" s="619"/>
      <c r="AE18" s="632">
        <f t="shared" si="1"/>
        <v>28000000</v>
      </c>
      <c r="AF18" s="632"/>
      <c r="AG18" s="632"/>
      <c r="AH18" s="632"/>
      <c r="AI18" s="632"/>
      <c r="AJ18" s="619">
        <f>IF(+A18=0,0,HLOOKUP(A18,İcmal!$E$8:$BH$52,43,0))</f>
        <v>0</v>
      </c>
      <c r="AK18" s="619"/>
      <c r="AL18" s="619"/>
      <c r="AM18" s="619"/>
      <c r="AN18" s="633">
        <f>IF(+A18=0,0,HLOOKUP(A18,İcmal!$E$8:$BH$52,17,0))</f>
        <v>39448</v>
      </c>
      <c r="AO18" s="634"/>
      <c r="AP18" s="634"/>
      <c r="AQ18" s="635"/>
      <c r="AR18" s="619">
        <f t="shared" si="2"/>
        <v>39448</v>
      </c>
      <c r="AS18" s="619"/>
      <c r="AT18" s="619"/>
      <c r="AU18" s="619"/>
      <c r="AV18" s="633">
        <f t="shared" si="3"/>
        <v>0</v>
      </c>
      <c r="AW18" s="634"/>
      <c r="AX18" s="634"/>
      <c r="AY18" s="635"/>
      <c r="AZ18" s="636">
        <f t="shared" si="4"/>
        <v>0.28179999999999999</v>
      </c>
      <c r="BA18" s="637"/>
      <c r="BB18" s="637"/>
      <c r="BC18" s="638"/>
      <c r="BD18" s="619">
        <f t="shared" si="5"/>
        <v>7889600</v>
      </c>
      <c r="BE18" s="619"/>
      <c r="BF18" s="619"/>
      <c r="BG18" s="619"/>
      <c r="BH18" s="619"/>
      <c r="BI18" s="619"/>
      <c r="BJ18" s="619"/>
      <c r="BK18" s="619"/>
      <c r="BL18" s="620"/>
    </row>
    <row r="19" spans="1:66" ht="45" customHeight="1">
      <c r="A19" s="624" t="str">
        <f>BFTC!B10</f>
        <v>KASKİ-06</v>
      </c>
      <c r="B19" s="625"/>
      <c r="C19" s="625"/>
      <c r="D19" s="626"/>
      <c r="E19" s="627" t="str">
        <f>BFTC!C10</f>
        <v>Sayaç Alımı (Teknik Şartnamede Özellikleri Belirtilen) DN20 190 MM</v>
      </c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8"/>
      <c r="T19" s="629"/>
      <c r="U19" s="630" t="str">
        <f>+BFTC!D10</f>
        <v>Adet</v>
      </c>
      <c r="V19" s="631"/>
      <c r="W19" s="619">
        <f>+BFTC!E10</f>
        <v>15000</v>
      </c>
      <c r="X19" s="619"/>
      <c r="Y19" s="619"/>
      <c r="Z19" s="619"/>
      <c r="AA19" s="619">
        <f>+BFTC!F10</f>
        <v>1350</v>
      </c>
      <c r="AB19" s="619"/>
      <c r="AC19" s="619"/>
      <c r="AD19" s="619"/>
      <c r="AE19" s="632">
        <f t="shared" ref="AE19" si="6">AA19*W19</f>
        <v>20250000</v>
      </c>
      <c r="AF19" s="632"/>
      <c r="AG19" s="632"/>
      <c r="AH19" s="632"/>
      <c r="AI19" s="632"/>
      <c r="AJ19" s="619">
        <f>IF(+A19=0,0,HLOOKUP(A19,İcmal!$E$8:$BH$52,43,0))</f>
        <v>0</v>
      </c>
      <c r="AK19" s="619"/>
      <c r="AL19" s="619"/>
      <c r="AM19" s="619"/>
      <c r="AN19" s="633">
        <f>IF(+A19=0,0,HLOOKUP(A19,İcmal!$E$8:$BH$52,17,0))</f>
        <v>15000</v>
      </c>
      <c r="AO19" s="634"/>
      <c r="AP19" s="634"/>
      <c r="AQ19" s="635"/>
      <c r="AR19" s="619">
        <f t="shared" ref="AR19" si="7">AJ19+AN19</f>
        <v>15000</v>
      </c>
      <c r="AS19" s="619"/>
      <c r="AT19" s="619"/>
      <c r="AU19" s="619"/>
      <c r="AV19" s="633">
        <f t="shared" ref="AV19" si="8">AA19*AJ19</f>
        <v>0</v>
      </c>
      <c r="AW19" s="634"/>
      <c r="AX19" s="634"/>
      <c r="AY19" s="635"/>
      <c r="AZ19" s="636">
        <f t="shared" ref="AZ19" si="9">IF(AE19=0,0,(BD19/AE19))</f>
        <v>1</v>
      </c>
      <c r="BA19" s="637"/>
      <c r="BB19" s="637"/>
      <c r="BC19" s="638"/>
      <c r="BD19" s="619">
        <f t="shared" ref="BD19" si="10">AA19*AR19</f>
        <v>20250000</v>
      </c>
      <c r="BE19" s="619"/>
      <c r="BF19" s="619"/>
      <c r="BG19" s="619"/>
      <c r="BH19" s="619"/>
      <c r="BI19" s="619"/>
      <c r="BJ19" s="619"/>
      <c r="BK19" s="619"/>
      <c r="BL19" s="620"/>
    </row>
    <row r="20" spans="1:66" ht="40.200000000000003" customHeight="1">
      <c r="A20" s="624" t="str">
        <f>BFTC!B11</f>
        <v>KASKİ-07</v>
      </c>
      <c r="B20" s="625"/>
      <c r="C20" s="625"/>
      <c r="D20" s="626"/>
      <c r="E20" s="627" t="str">
        <f>BFTC!C11</f>
        <v>İçme Suyu Hatlarında Sayaçlı Abonesiz, Sayaçsız ve Kaçak Kullanımın Tespit Edilmesi ve Raporlanması</v>
      </c>
      <c r="F20" s="628"/>
      <c r="G20" s="628"/>
      <c r="H20" s="628"/>
      <c r="I20" s="628"/>
      <c r="J20" s="628"/>
      <c r="K20" s="628"/>
      <c r="L20" s="628"/>
      <c r="M20" s="628"/>
      <c r="N20" s="628"/>
      <c r="O20" s="628"/>
      <c r="P20" s="628"/>
      <c r="Q20" s="628"/>
      <c r="R20" s="628"/>
      <c r="S20" s="628"/>
      <c r="T20" s="629"/>
      <c r="U20" s="630" t="str">
        <f>+BFTC!D11</f>
        <v>Adet</v>
      </c>
      <c r="V20" s="631"/>
      <c r="W20" s="619">
        <f>+BFTC!E11</f>
        <v>7500</v>
      </c>
      <c r="X20" s="619"/>
      <c r="Y20" s="619"/>
      <c r="Z20" s="619"/>
      <c r="AA20" s="619">
        <f>+BFTC!F11</f>
        <v>1800</v>
      </c>
      <c r="AB20" s="619"/>
      <c r="AC20" s="619"/>
      <c r="AD20" s="619"/>
      <c r="AE20" s="632">
        <f t="shared" ref="AE20" si="11">AA20*W20</f>
        <v>13500000</v>
      </c>
      <c r="AF20" s="632"/>
      <c r="AG20" s="632"/>
      <c r="AH20" s="632"/>
      <c r="AI20" s="632"/>
      <c r="AJ20" s="619">
        <f>IF(+A20=0,0,HLOOKUP(A20,İcmal!$E$8:$BH$52,43,0))</f>
        <v>0</v>
      </c>
      <c r="AK20" s="619"/>
      <c r="AL20" s="619"/>
      <c r="AM20" s="619"/>
      <c r="AN20" s="633">
        <f>IF(+A20=0,0,HLOOKUP(A20,İcmal!$E$8:$BH$52,17,0))</f>
        <v>1452</v>
      </c>
      <c r="AO20" s="634"/>
      <c r="AP20" s="634"/>
      <c r="AQ20" s="635"/>
      <c r="AR20" s="619">
        <f t="shared" ref="AR20" si="12">AJ20+AN20</f>
        <v>1452</v>
      </c>
      <c r="AS20" s="619"/>
      <c r="AT20" s="619"/>
      <c r="AU20" s="619"/>
      <c r="AV20" s="633">
        <f t="shared" ref="AV20" si="13">AA20*AJ20</f>
        <v>0</v>
      </c>
      <c r="AW20" s="634"/>
      <c r="AX20" s="634"/>
      <c r="AY20" s="635"/>
      <c r="AZ20" s="636">
        <f t="shared" ref="AZ20" si="14">IF(AE20=0,0,(BD20/AE20))</f>
        <v>0.19359999999999999</v>
      </c>
      <c r="BA20" s="637"/>
      <c r="BB20" s="637"/>
      <c r="BC20" s="638"/>
      <c r="BD20" s="619">
        <f t="shared" ref="BD20" si="15">AA20*AR20</f>
        <v>2613600</v>
      </c>
      <c r="BE20" s="619"/>
      <c r="BF20" s="619"/>
      <c r="BG20" s="619"/>
      <c r="BH20" s="619"/>
      <c r="BI20" s="621"/>
      <c r="BJ20" s="622"/>
      <c r="BK20" s="622"/>
      <c r="BL20" s="623"/>
    </row>
    <row r="21" spans="1:66">
      <c r="A21" s="699"/>
      <c r="B21" s="506"/>
      <c r="C21" s="506"/>
      <c r="D21" s="652"/>
      <c r="E21" s="700"/>
      <c r="F21" s="702"/>
      <c r="G21" s="702"/>
      <c r="H21" s="702"/>
      <c r="I21" s="702"/>
      <c r="J21" s="702"/>
      <c r="K21" s="702"/>
      <c r="L21" s="702"/>
      <c r="M21" s="702"/>
      <c r="N21" s="702"/>
      <c r="O21" s="702"/>
      <c r="P21" s="702"/>
      <c r="Q21" s="702"/>
      <c r="R21" s="702"/>
      <c r="S21" s="702"/>
      <c r="T21" s="701"/>
      <c r="U21" s="700"/>
      <c r="V21" s="701"/>
      <c r="W21" s="621"/>
      <c r="X21" s="622"/>
      <c r="Y21" s="622"/>
      <c r="Z21" s="698"/>
      <c r="AA21" s="695"/>
      <c r="AB21" s="696"/>
      <c r="AC21" s="696"/>
      <c r="AD21" s="697"/>
      <c r="AE21" s="621"/>
      <c r="AF21" s="622"/>
      <c r="AG21" s="622"/>
      <c r="AH21" s="622"/>
      <c r="AI21" s="698"/>
      <c r="AJ21" s="621"/>
      <c r="AK21" s="622"/>
      <c r="AL21" s="622"/>
      <c r="AM21" s="698"/>
      <c r="AN21" s="621"/>
      <c r="AO21" s="622"/>
      <c r="AP21" s="622"/>
      <c r="AQ21" s="698"/>
      <c r="AR21" s="695" t="s">
        <v>158</v>
      </c>
      <c r="AS21" s="696"/>
      <c r="AT21" s="696"/>
      <c r="AU21" s="697"/>
      <c r="AV21" s="695">
        <f>SUM(AV14:AY20)</f>
        <v>0</v>
      </c>
      <c r="AW21" s="696"/>
      <c r="AX21" s="696"/>
      <c r="AY21" s="697"/>
      <c r="AZ21" s="695" t="s">
        <v>159</v>
      </c>
      <c r="BA21" s="696"/>
      <c r="BB21" s="696"/>
      <c r="BC21" s="697"/>
      <c r="BD21" s="695">
        <f>SUM(BD14:BH20)</f>
        <v>42099240</v>
      </c>
      <c r="BE21" s="696"/>
      <c r="BF21" s="696"/>
      <c r="BG21" s="696"/>
      <c r="BH21" s="697"/>
      <c r="BI21" s="621"/>
      <c r="BJ21" s="622"/>
      <c r="BK21" s="622"/>
      <c r="BL21" s="623"/>
      <c r="BN21" s="40"/>
    </row>
    <row r="22" spans="1:66">
      <c r="A22" s="692"/>
      <c r="B22" s="693"/>
      <c r="C22" s="693"/>
      <c r="D22" s="693"/>
      <c r="E22" s="693"/>
      <c r="F22" s="693"/>
      <c r="G22" s="693"/>
      <c r="H22" s="693"/>
      <c r="I22" s="693"/>
      <c r="J22" s="693"/>
      <c r="K22" s="693"/>
      <c r="L22" s="693"/>
      <c r="M22" s="693"/>
      <c r="N22" s="693"/>
      <c r="O22" s="693"/>
      <c r="P22" s="693"/>
      <c r="Q22" s="693"/>
      <c r="R22" s="693"/>
      <c r="S22" s="693"/>
      <c r="T22" s="693"/>
      <c r="U22" s="693"/>
      <c r="V22" s="693"/>
      <c r="W22" s="693"/>
      <c r="X22" s="693"/>
      <c r="Y22" s="693"/>
      <c r="Z22" s="693"/>
      <c r="AA22" s="693"/>
      <c r="AB22" s="693"/>
      <c r="AC22" s="693"/>
      <c r="AD22" s="693"/>
      <c r="AE22" s="693"/>
      <c r="AF22" s="693"/>
      <c r="AG22" s="693"/>
      <c r="AH22" s="693"/>
      <c r="AI22" s="693"/>
      <c r="AJ22" s="693"/>
      <c r="AK22" s="693"/>
      <c r="AL22" s="693"/>
      <c r="AM22" s="693"/>
      <c r="AN22" s="693"/>
      <c r="AO22" s="693"/>
      <c r="AP22" s="693"/>
      <c r="AQ22" s="693"/>
      <c r="AR22" s="693"/>
      <c r="AS22" s="693"/>
      <c r="AT22" s="693"/>
      <c r="AU22" s="693"/>
      <c r="AV22" s="693"/>
      <c r="AW22" s="693"/>
      <c r="AX22" s="693"/>
      <c r="AY22" s="693"/>
      <c r="AZ22" s="693"/>
      <c r="BA22" s="693"/>
      <c r="BB22" s="693"/>
      <c r="BC22" s="693"/>
      <c r="BD22" s="693"/>
      <c r="BE22" s="693"/>
      <c r="BF22" s="693"/>
      <c r="BG22" s="693"/>
      <c r="BH22" s="693"/>
      <c r="BI22" s="693"/>
      <c r="BJ22" s="693"/>
      <c r="BK22" s="693"/>
      <c r="BL22" s="694"/>
    </row>
    <row r="23" spans="1:66" ht="15.6">
      <c r="A23" s="718" t="s">
        <v>174</v>
      </c>
      <c r="B23" s="719"/>
      <c r="C23" s="719"/>
      <c r="D23" s="719"/>
      <c r="E23" s="719"/>
      <c r="F23" s="719"/>
      <c r="G23" s="719"/>
      <c r="H23" s="719"/>
      <c r="I23" s="719"/>
      <c r="J23" s="719"/>
      <c r="K23" s="719"/>
      <c r="L23" s="719"/>
      <c r="M23" s="719"/>
      <c r="N23" s="719"/>
      <c r="O23" s="719"/>
      <c r="P23" s="719"/>
      <c r="Q23" s="719"/>
      <c r="R23" s="719"/>
      <c r="S23" s="719"/>
      <c r="T23" s="719"/>
      <c r="U23" s="719" t="s">
        <v>106</v>
      </c>
      <c r="V23" s="719"/>
      <c r="W23" s="719"/>
      <c r="X23" s="719"/>
      <c r="Y23" s="719"/>
      <c r="Z23" s="719"/>
      <c r="AA23" s="719"/>
      <c r="AB23" s="719"/>
      <c r="AC23" s="719"/>
      <c r="AD23" s="719"/>
      <c r="AE23" s="719"/>
      <c r="AF23" s="719"/>
      <c r="AG23" s="719"/>
      <c r="AH23" s="719"/>
      <c r="AI23" s="719"/>
      <c r="AJ23" s="719"/>
      <c r="AK23" s="719"/>
      <c r="AL23" s="719"/>
      <c r="AM23" s="719"/>
      <c r="AN23" s="719"/>
      <c r="AO23" s="719"/>
      <c r="AP23" s="719"/>
      <c r="AQ23" s="719"/>
      <c r="AR23" s="719"/>
      <c r="AS23" s="719" t="s">
        <v>14</v>
      </c>
      <c r="AT23" s="719"/>
      <c r="AU23" s="719"/>
      <c r="AV23" s="719"/>
      <c r="AW23" s="719"/>
      <c r="AX23" s="719"/>
      <c r="AY23" s="719"/>
      <c r="AZ23" s="719"/>
      <c r="BA23" s="719"/>
      <c r="BB23" s="719"/>
      <c r="BC23" s="719"/>
      <c r="BD23" s="719"/>
      <c r="BE23" s="719"/>
      <c r="BF23" s="719"/>
      <c r="BG23" s="719"/>
      <c r="BH23" s="719"/>
      <c r="BI23" s="719"/>
      <c r="BJ23" s="719"/>
      <c r="BK23" s="719"/>
      <c r="BL23" s="720"/>
    </row>
    <row r="24" spans="1:66" ht="14.4" customHeight="1">
      <c r="A24" s="105"/>
      <c r="B24" s="721" t="str">
        <f>Bilgiler!D12</f>
        <v xml:space="preserve"> ÖMER FARUK YAŞAR      -     HARUN KAZANCI    -      ÖMER BUCAK</v>
      </c>
      <c r="C24" s="721"/>
      <c r="D24" s="721"/>
      <c r="E24" s="721"/>
      <c r="F24" s="721"/>
      <c r="G24" s="721"/>
      <c r="H24" s="721"/>
      <c r="I24" s="721"/>
      <c r="J24" s="721"/>
      <c r="K24" s="721"/>
      <c r="L24" s="721"/>
      <c r="M24" s="721"/>
      <c r="N24" s="721"/>
      <c r="O24" s="721"/>
      <c r="P24" s="721"/>
      <c r="Q24" s="721"/>
      <c r="R24" s="721"/>
      <c r="S24" s="721"/>
      <c r="T24" s="722"/>
      <c r="U24" s="723"/>
      <c r="V24" s="724"/>
      <c r="W24" s="724"/>
      <c r="X24" s="724"/>
      <c r="Y24" s="724"/>
      <c r="Z24" s="724"/>
      <c r="AA24" s="724"/>
      <c r="AB24" s="724"/>
      <c r="AC24" s="724"/>
      <c r="AD24" s="724"/>
      <c r="AE24" s="724"/>
      <c r="AF24" s="724"/>
      <c r="AG24" s="724"/>
      <c r="AH24" s="724"/>
      <c r="AI24" s="724"/>
      <c r="AJ24" s="724"/>
      <c r="AK24" s="724"/>
      <c r="AL24" s="724"/>
      <c r="AM24" s="724"/>
      <c r="AN24" s="724"/>
      <c r="AO24" s="724"/>
      <c r="AP24" s="724"/>
      <c r="AQ24" s="724"/>
      <c r="AR24" s="725"/>
      <c r="AS24" s="703" t="str">
        <f>Bilgiler!D3</f>
        <v>ER-SAN ELEKTRİK İNŞ. TAAH.TİC.LTD.ŞTİ.</v>
      </c>
      <c r="AT24" s="704"/>
      <c r="AU24" s="704"/>
      <c r="AV24" s="704"/>
      <c r="AW24" s="704"/>
      <c r="AX24" s="704"/>
      <c r="AY24" s="704"/>
      <c r="AZ24" s="704"/>
      <c r="BA24" s="704"/>
      <c r="BB24" s="704"/>
      <c r="BC24" s="704"/>
      <c r="BD24" s="704"/>
      <c r="BE24" s="704"/>
      <c r="BF24" s="704"/>
      <c r="BG24" s="704"/>
      <c r="BH24" s="704"/>
      <c r="BI24" s="704"/>
      <c r="BJ24" s="704"/>
      <c r="BK24" s="704"/>
      <c r="BL24" s="705"/>
    </row>
    <row r="25" spans="1:66" ht="14.4" customHeight="1">
      <c r="A25" s="106"/>
      <c r="B25" s="104"/>
      <c r="C25" s="713" t="str">
        <f>Bilgiler!D13</f>
        <v>İDARİ İŞLER SORUMLUSU  -  OKUMA YÖNETİCİSİ -   SAYAÇ VERİ GİRİŞ OP.</v>
      </c>
      <c r="D25" s="713"/>
      <c r="E25" s="713"/>
      <c r="F25" s="713"/>
      <c r="G25" s="713"/>
      <c r="H25" s="713"/>
      <c r="I25" s="713"/>
      <c r="J25" s="713"/>
      <c r="K25" s="713"/>
      <c r="L25" s="713"/>
      <c r="M25" s="713"/>
      <c r="N25" s="713"/>
      <c r="O25" s="713"/>
      <c r="P25" s="713"/>
      <c r="Q25" s="713"/>
      <c r="R25" s="713"/>
      <c r="S25" s="713"/>
      <c r="T25" s="714"/>
      <c r="U25" s="726"/>
      <c r="V25" s="727"/>
      <c r="W25" s="727"/>
      <c r="X25" s="727"/>
      <c r="Y25" s="727"/>
      <c r="Z25" s="727"/>
      <c r="AA25" s="727"/>
      <c r="AB25" s="727"/>
      <c r="AC25" s="727"/>
      <c r="AD25" s="727"/>
      <c r="AE25" s="727"/>
      <c r="AF25" s="727"/>
      <c r="AG25" s="727"/>
      <c r="AH25" s="727"/>
      <c r="AI25" s="727"/>
      <c r="AJ25" s="727"/>
      <c r="AK25" s="727"/>
      <c r="AL25" s="727"/>
      <c r="AM25" s="727"/>
      <c r="AN25" s="727"/>
      <c r="AO25" s="727"/>
      <c r="AP25" s="727"/>
      <c r="AQ25" s="727"/>
      <c r="AR25" s="728"/>
      <c r="AS25" s="706"/>
      <c r="AT25" s="707"/>
      <c r="AU25" s="707"/>
      <c r="AV25" s="707"/>
      <c r="AW25" s="707"/>
      <c r="AX25" s="707"/>
      <c r="AY25" s="707"/>
      <c r="AZ25" s="707"/>
      <c r="BA25" s="707"/>
      <c r="BB25" s="707"/>
      <c r="BC25" s="707"/>
      <c r="BD25" s="707"/>
      <c r="BE25" s="707"/>
      <c r="BF25" s="707"/>
      <c r="BG25" s="707"/>
      <c r="BH25" s="707"/>
      <c r="BI25" s="707"/>
      <c r="BJ25" s="707"/>
      <c r="BK25" s="707"/>
      <c r="BL25" s="708"/>
    </row>
    <row r="26" spans="1:66" ht="14.4" customHeight="1">
      <c r="A26" s="106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99"/>
      <c r="U26" s="726"/>
      <c r="V26" s="727"/>
      <c r="W26" s="727"/>
      <c r="X26" s="727"/>
      <c r="Y26" s="727"/>
      <c r="Z26" s="727"/>
      <c r="AA26" s="727"/>
      <c r="AB26" s="727"/>
      <c r="AC26" s="727"/>
      <c r="AD26" s="727"/>
      <c r="AE26" s="727"/>
      <c r="AF26" s="727"/>
      <c r="AG26" s="727"/>
      <c r="AH26" s="727"/>
      <c r="AI26" s="727"/>
      <c r="AJ26" s="727"/>
      <c r="AK26" s="727"/>
      <c r="AL26" s="727"/>
      <c r="AM26" s="727"/>
      <c r="AN26" s="727"/>
      <c r="AO26" s="727"/>
      <c r="AP26" s="727"/>
      <c r="AQ26" s="727"/>
      <c r="AR26" s="728"/>
      <c r="AS26" s="706"/>
      <c r="AT26" s="707"/>
      <c r="AU26" s="707"/>
      <c r="AV26" s="707"/>
      <c r="AW26" s="707"/>
      <c r="AX26" s="707"/>
      <c r="AY26" s="707"/>
      <c r="AZ26" s="707"/>
      <c r="BA26" s="707"/>
      <c r="BB26" s="707"/>
      <c r="BC26" s="707"/>
      <c r="BD26" s="707"/>
      <c r="BE26" s="707"/>
      <c r="BF26" s="707"/>
      <c r="BG26" s="707"/>
      <c r="BH26" s="707"/>
      <c r="BI26" s="707"/>
      <c r="BJ26" s="707"/>
      <c r="BK26" s="707"/>
      <c r="BL26" s="708"/>
    </row>
    <row r="27" spans="1:66" ht="14.4" customHeight="1">
      <c r="A27" s="105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0"/>
      <c r="U27" s="712"/>
      <c r="V27" s="713"/>
      <c r="W27" s="713"/>
      <c r="X27" s="713"/>
      <c r="Y27" s="713"/>
      <c r="Z27" s="713"/>
      <c r="AA27" s="713"/>
      <c r="AB27" s="713"/>
      <c r="AC27" s="713"/>
      <c r="AD27" s="713"/>
      <c r="AE27" s="713"/>
      <c r="AF27" s="713"/>
      <c r="AG27" s="713"/>
      <c r="AH27" s="713"/>
      <c r="AI27" s="713"/>
      <c r="AJ27" s="713"/>
      <c r="AK27" s="713"/>
      <c r="AL27" s="713"/>
      <c r="AM27" s="713"/>
      <c r="AN27" s="713"/>
      <c r="AO27" s="713"/>
      <c r="AP27" s="713"/>
      <c r="AQ27" s="713"/>
      <c r="AR27" s="714"/>
      <c r="AS27" s="706"/>
      <c r="AT27" s="707"/>
      <c r="AU27" s="707"/>
      <c r="AV27" s="707"/>
      <c r="AW27" s="707"/>
      <c r="AX27" s="707"/>
      <c r="AY27" s="707"/>
      <c r="AZ27" s="707"/>
      <c r="BA27" s="707"/>
      <c r="BB27" s="707"/>
      <c r="BC27" s="707"/>
      <c r="BD27" s="707"/>
      <c r="BE27" s="707"/>
      <c r="BF27" s="707"/>
      <c r="BG27" s="707"/>
      <c r="BH27" s="707"/>
      <c r="BI27" s="707"/>
      <c r="BJ27" s="707"/>
      <c r="BK27" s="707"/>
      <c r="BL27" s="708"/>
    </row>
    <row r="28" spans="1:66" ht="14.4" customHeight="1">
      <c r="A28" s="107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0"/>
      <c r="U28" s="712"/>
      <c r="V28" s="713"/>
      <c r="W28" s="713"/>
      <c r="X28" s="713"/>
      <c r="Y28" s="713"/>
      <c r="Z28" s="713"/>
      <c r="AA28" s="713"/>
      <c r="AB28" s="713"/>
      <c r="AC28" s="713"/>
      <c r="AD28" s="713"/>
      <c r="AE28" s="713"/>
      <c r="AF28" s="713"/>
      <c r="AG28" s="713"/>
      <c r="AH28" s="713"/>
      <c r="AI28" s="713"/>
      <c r="AJ28" s="713"/>
      <c r="AK28" s="713"/>
      <c r="AL28" s="713"/>
      <c r="AM28" s="713"/>
      <c r="AN28" s="713"/>
      <c r="AO28" s="713"/>
      <c r="AP28" s="713"/>
      <c r="AQ28" s="713"/>
      <c r="AR28" s="714"/>
      <c r="AS28" s="706"/>
      <c r="AT28" s="707"/>
      <c r="AU28" s="707"/>
      <c r="AV28" s="707"/>
      <c r="AW28" s="707"/>
      <c r="AX28" s="707"/>
      <c r="AY28" s="707"/>
      <c r="AZ28" s="707"/>
      <c r="BA28" s="707"/>
      <c r="BB28" s="707"/>
      <c r="BC28" s="707"/>
      <c r="BD28" s="707"/>
      <c r="BE28" s="707"/>
      <c r="BF28" s="707"/>
      <c r="BG28" s="707"/>
      <c r="BH28" s="707"/>
      <c r="BI28" s="707"/>
      <c r="BJ28" s="707"/>
      <c r="BK28" s="707"/>
      <c r="BL28" s="708"/>
    </row>
    <row r="29" spans="1:66" ht="15" customHeight="1" thickBot="1">
      <c r="A29" s="108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2"/>
      <c r="U29" s="715"/>
      <c r="V29" s="716"/>
      <c r="W29" s="716"/>
      <c r="X29" s="716"/>
      <c r="Y29" s="716"/>
      <c r="Z29" s="716"/>
      <c r="AA29" s="716"/>
      <c r="AB29" s="716"/>
      <c r="AC29" s="716"/>
      <c r="AD29" s="716"/>
      <c r="AE29" s="716"/>
      <c r="AF29" s="716"/>
      <c r="AG29" s="716"/>
      <c r="AH29" s="716"/>
      <c r="AI29" s="716"/>
      <c r="AJ29" s="716"/>
      <c r="AK29" s="716"/>
      <c r="AL29" s="716"/>
      <c r="AM29" s="716"/>
      <c r="AN29" s="716"/>
      <c r="AO29" s="716"/>
      <c r="AP29" s="716"/>
      <c r="AQ29" s="716"/>
      <c r="AR29" s="717"/>
      <c r="AS29" s="709"/>
      <c r="AT29" s="710"/>
      <c r="AU29" s="710"/>
      <c r="AV29" s="710"/>
      <c r="AW29" s="710"/>
      <c r="AX29" s="710"/>
      <c r="AY29" s="710"/>
      <c r="AZ29" s="710"/>
      <c r="BA29" s="710"/>
      <c r="BB29" s="710"/>
      <c r="BC29" s="710"/>
      <c r="BD29" s="710"/>
      <c r="BE29" s="710"/>
      <c r="BF29" s="710"/>
      <c r="BG29" s="710"/>
      <c r="BH29" s="710"/>
      <c r="BI29" s="710"/>
      <c r="BJ29" s="710"/>
      <c r="BK29" s="710"/>
      <c r="BL29" s="711"/>
    </row>
    <row r="30" spans="1:66" ht="15" thickTop="1"/>
  </sheetData>
  <customSheetViews>
    <customSheetView guid="{99F77AB9-FA43-4D4B-9896-F712C1493A3C}" scale="85" showPageBreaks="1" fitToPage="1" printArea="1" view="pageBreakPreview" topLeftCell="A10">
      <selection activeCell="BI17" sqref="BI17"/>
      <pageMargins left="0.70866141732283472" right="0.5" top="0.33" bottom="0.32" header="0.31496062992125984" footer="0.31496062992125984"/>
      <pageSetup paperSize="9" scale="64" orientation="landscape" r:id="rId1"/>
    </customSheetView>
    <customSheetView guid="{C8BAC6B5-86E1-4F54-AEAC-1412291311FD}" scale="85" showPageBreaks="1" fitToPage="1" printArea="1" view="pageBreakPreview" topLeftCell="A10">
      <selection activeCell="BI17" sqref="BI17"/>
      <pageMargins left="0.70866141732283472" right="0.5" top="0.33" bottom="0.32" header="0.31496062992125984" footer="0.31496062992125984"/>
      <pageSetup paperSize="9" scale="64" orientation="landscape" r:id="rId2"/>
    </customSheetView>
  </customSheetViews>
  <mergeCells count="148">
    <mergeCell ref="AS24:BL29"/>
    <mergeCell ref="U27:AR29"/>
    <mergeCell ref="A23:T23"/>
    <mergeCell ref="U23:AR23"/>
    <mergeCell ref="AS23:BL23"/>
    <mergeCell ref="C25:T25"/>
    <mergeCell ref="B24:T24"/>
    <mergeCell ref="E20:T20"/>
    <mergeCell ref="U20:V20"/>
    <mergeCell ref="W20:Z20"/>
    <mergeCell ref="AA20:AD20"/>
    <mergeCell ref="AE20:AI20"/>
    <mergeCell ref="AJ20:AM20"/>
    <mergeCell ref="AN20:AQ20"/>
    <mergeCell ref="U24:AR26"/>
    <mergeCell ref="A17:D17"/>
    <mergeCell ref="E17:T17"/>
    <mergeCell ref="AN18:AQ18"/>
    <mergeCell ref="A18:D18"/>
    <mergeCell ref="E18:T18"/>
    <mergeCell ref="AA18:AD18"/>
    <mergeCell ref="AE18:AI18"/>
    <mergeCell ref="AJ18:AM18"/>
    <mergeCell ref="AN14:AQ14"/>
    <mergeCell ref="A16:D16"/>
    <mergeCell ref="E16:T16"/>
    <mergeCell ref="U16:V16"/>
    <mergeCell ref="W16:Z16"/>
    <mergeCell ref="AA16:AD16"/>
    <mergeCell ref="AE16:AI16"/>
    <mergeCell ref="AN16:AQ16"/>
    <mergeCell ref="A15:D15"/>
    <mergeCell ref="E15:T15"/>
    <mergeCell ref="U15:V15"/>
    <mergeCell ref="W15:Z15"/>
    <mergeCell ref="AA15:AD15"/>
    <mergeCell ref="AE15:AI15"/>
    <mergeCell ref="AN15:AQ15"/>
    <mergeCell ref="A14:D14"/>
    <mergeCell ref="AR18:AU18"/>
    <mergeCell ref="AV18:AY18"/>
    <mergeCell ref="AZ18:BC18"/>
    <mergeCell ref="A22:BL22"/>
    <mergeCell ref="BI21:BL21"/>
    <mergeCell ref="BD21:BH21"/>
    <mergeCell ref="AZ21:BC21"/>
    <mergeCell ref="AV21:AY21"/>
    <mergeCell ref="AR21:AU21"/>
    <mergeCell ref="AN21:AQ21"/>
    <mergeCell ref="AJ21:AM21"/>
    <mergeCell ref="A21:D21"/>
    <mergeCell ref="BD18:BH18"/>
    <mergeCell ref="BI18:BL18"/>
    <mergeCell ref="U18:V18"/>
    <mergeCell ref="W18:Z18"/>
    <mergeCell ref="AE21:AI21"/>
    <mergeCell ref="AA21:AD21"/>
    <mergeCell ref="W21:Z21"/>
    <mergeCell ref="U21:V21"/>
    <mergeCell ref="E21:T21"/>
    <mergeCell ref="AV19:AY19"/>
    <mergeCell ref="AZ19:BC19"/>
    <mergeCell ref="BD19:BH19"/>
    <mergeCell ref="E9:T12"/>
    <mergeCell ref="U9:V12"/>
    <mergeCell ref="W9:Z12"/>
    <mergeCell ref="AJ15:AM15"/>
    <mergeCell ref="AR15:AU15"/>
    <mergeCell ref="BD15:BH15"/>
    <mergeCell ref="AV16:AY16"/>
    <mergeCell ref="AZ16:BC16"/>
    <mergeCell ref="AR16:AU16"/>
    <mergeCell ref="BD16:BH16"/>
    <mergeCell ref="AJ16:AM16"/>
    <mergeCell ref="AV15:AY15"/>
    <mergeCell ref="AZ15:BC15"/>
    <mergeCell ref="AV9:AY12"/>
    <mergeCell ref="AZ9:BC12"/>
    <mergeCell ref="AJ14:AM14"/>
    <mergeCell ref="E14:T14"/>
    <mergeCell ref="U14:V14"/>
    <mergeCell ref="W14:Z14"/>
    <mergeCell ref="AA14:AD14"/>
    <mergeCell ref="AE14:AI14"/>
    <mergeCell ref="A1:F8"/>
    <mergeCell ref="BD9:BH12"/>
    <mergeCell ref="A13:D13"/>
    <mergeCell ref="E13:T13"/>
    <mergeCell ref="U13:V13"/>
    <mergeCell ref="W13:Z13"/>
    <mergeCell ref="AA13:AD13"/>
    <mergeCell ref="AE13:AI13"/>
    <mergeCell ref="AJ13:AM13"/>
    <mergeCell ref="G1:U8"/>
    <mergeCell ref="V1:BL3"/>
    <mergeCell ref="V4:BL6"/>
    <mergeCell ref="A9:D12"/>
    <mergeCell ref="BI9:BL12"/>
    <mergeCell ref="AA9:AD12"/>
    <mergeCell ref="AE9:AI12"/>
    <mergeCell ref="AJ9:AM12"/>
    <mergeCell ref="AR9:AU12"/>
    <mergeCell ref="AN9:AQ12"/>
    <mergeCell ref="AV13:AY13"/>
    <mergeCell ref="AR13:AU13"/>
    <mergeCell ref="BD13:BH13"/>
    <mergeCell ref="BI13:BL13"/>
    <mergeCell ref="AZ13:BC13"/>
    <mergeCell ref="V7:AX8"/>
    <mergeCell ref="AY7:BE7"/>
    <mergeCell ref="BF7:BL7"/>
    <mergeCell ref="AY8:BE8"/>
    <mergeCell ref="BF8:BL8"/>
    <mergeCell ref="BI16:BL16"/>
    <mergeCell ref="AV17:AY17"/>
    <mergeCell ref="AZ17:BC17"/>
    <mergeCell ref="BD17:BH17"/>
    <mergeCell ref="BI17:BL17"/>
    <mergeCell ref="AV14:AY14"/>
    <mergeCell ref="BI15:BL15"/>
    <mergeCell ref="AR17:AU17"/>
    <mergeCell ref="BI14:BL14"/>
    <mergeCell ref="AZ14:BC14"/>
    <mergeCell ref="AR14:AU14"/>
    <mergeCell ref="BD14:BH14"/>
    <mergeCell ref="AJ17:AM17"/>
    <mergeCell ref="U17:V17"/>
    <mergeCell ref="W17:Z17"/>
    <mergeCell ref="AA17:AD17"/>
    <mergeCell ref="AE17:AI17"/>
    <mergeCell ref="AN17:AQ17"/>
    <mergeCell ref="AN13:AQ13"/>
    <mergeCell ref="BI19:BL19"/>
    <mergeCell ref="BI20:BL20"/>
    <mergeCell ref="A19:D19"/>
    <mergeCell ref="E19:T19"/>
    <mergeCell ref="U19:V19"/>
    <mergeCell ref="W19:Z19"/>
    <mergeCell ref="AA19:AD19"/>
    <mergeCell ref="AE19:AI19"/>
    <mergeCell ref="AJ19:AM19"/>
    <mergeCell ref="AN19:AQ19"/>
    <mergeCell ref="AR19:AU19"/>
    <mergeCell ref="A20:D20"/>
    <mergeCell ref="AZ20:BC20"/>
    <mergeCell ref="BD20:BH20"/>
    <mergeCell ref="AR20:AU20"/>
    <mergeCell ref="AV20:AY20"/>
  </mergeCells>
  <printOptions horizontalCentered="1" verticalCentered="1"/>
  <pageMargins left="0.43307086614173229" right="0.23622047244094491" top="0.47244094488188981" bottom="0.31496062992125984" header="0.31496062992125984" footer="0.31496062992125984"/>
  <pageSetup paperSize="9" scale="61" fitToHeight="0" orientation="landscape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E02A-6773-44CC-99B8-47F6C9099ACA}">
  <dimension ref="A1:R42"/>
  <sheetViews>
    <sheetView zoomScaleNormal="100" zoomScaleSheetLayoutView="115" workbookViewId="0">
      <selection activeCell="P9" sqref="P9"/>
    </sheetView>
  </sheetViews>
  <sheetFormatPr defaultRowHeight="14.4"/>
  <cols>
    <col min="1" max="1" width="10.88671875" customWidth="1"/>
    <col min="2" max="2" width="7" customWidth="1"/>
    <col min="3" max="3" width="12.5546875" customWidth="1"/>
    <col min="4" max="4" width="10.44140625" customWidth="1"/>
    <col min="5" max="5" width="11" customWidth="1"/>
    <col min="6" max="7" width="10.44140625" customWidth="1"/>
    <col min="8" max="8" width="12.109375" customWidth="1"/>
    <col min="9" max="9" width="11.44140625" customWidth="1"/>
    <col min="12" max="12" width="20.88671875" customWidth="1"/>
    <col min="13" max="13" width="7" customWidth="1"/>
    <col min="14" max="14" width="15.5546875" customWidth="1"/>
    <col min="15" max="15" width="15.21875" customWidth="1"/>
    <col min="16" max="16" width="16.21875" customWidth="1"/>
    <col min="17" max="17" width="14" customWidth="1"/>
    <col min="18" max="18" width="18.88671875" customWidth="1"/>
    <col min="19" max="19" width="19.21875" customWidth="1"/>
  </cols>
  <sheetData>
    <row r="1" spans="1:18" ht="15" thickTop="1">
      <c r="A1" s="53"/>
      <c r="B1" s="54"/>
      <c r="C1" s="54"/>
      <c r="D1" s="54"/>
      <c r="E1" s="54"/>
      <c r="F1" s="54"/>
      <c r="G1" s="54"/>
      <c r="H1" s="54"/>
      <c r="I1" s="55"/>
    </row>
    <row r="2" spans="1:18" ht="19.5" customHeight="1">
      <c r="A2" s="112"/>
      <c r="B2" s="113"/>
      <c r="C2" s="778" t="s">
        <v>204</v>
      </c>
      <c r="D2" s="778"/>
      <c r="E2" s="778"/>
      <c r="F2" s="778"/>
      <c r="G2" s="778"/>
      <c r="H2" s="778"/>
      <c r="I2" s="779"/>
    </row>
    <row r="3" spans="1:18" ht="21.75" customHeight="1">
      <c r="A3" s="112" t="s">
        <v>205</v>
      </c>
      <c r="B3" s="113"/>
      <c r="C3" s="778" t="s">
        <v>227</v>
      </c>
      <c r="D3" s="778"/>
      <c r="E3" s="778"/>
      <c r="F3" s="778"/>
      <c r="G3" s="778"/>
      <c r="H3" s="778"/>
      <c r="I3" s="779"/>
    </row>
    <row r="4" spans="1:18" s="116" customFormat="1" ht="30" customHeight="1">
      <c r="A4" s="114" t="s">
        <v>206</v>
      </c>
      <c r="B4" s="115"/>
      <c r="C4" s="778" t="s">
        <v>207</v>
      </c>
      <c r="D4" s="778"/>
      <c r="E4" s="778"/>
      <c r="F4" s="778"/>
      <c r="G4" s="778"/>
      <c r="H4" s="778"/>
      <c r="I4" s="779"/>
      <c r="Q4"/>
      <c r="R4"/>
    </row>
    <row r="5" spans="1:18">
      <c r="A5" s="22"/>
      <c r="I5" s="19"/>
    </row>
    <row r="6" spans="1:18" ht="18" customHeight="1">
      <c r="A6" s="780" t="str">
        <f>Bilgiler!D2</f>
        <v>İl Geneli Mobil Okuma Cihazı Kullanarak On-Line ve Off-Line Sayaç Endeks Tespiti, Fatura Dağıtımı,Sayaç Mühürlenmesi, Sayaç Sökme-Takma, Su Kapama veya Su Açma, Sayaç Alımı ve Kaçak Tespiti Hizmeti</v>
      </c>
      <c r="B6" s="781"/>
      <c r="C6" s="781"/>
      <c r="D6" s="781"/>
      <c r="E6" s="781"/>
      <c r="F6" s="781"/>
      <c r="G6" s="781"/>
      <c r="H6" s="2" t="s">
        <v>9</v>
      </c>
      <c r="I6" s="119">
        <f>Bilgiler!D10</f>
        <v>4</v>
      </c>
    </row>
    <row r="7" spans="1:18" ht="18" customHeight="1">
      <c r="A7" s="780"/>
      <c r="B7" s="781"/>
      <c r="C7" s="781"/>
      <c r="D7" s="781"/>
      <c r="E7" s="781"/>
      <c r="F7" s="781"/>
      <c r="G7" s="781"/>
      <c r="H7" s="2" t="s">
        <v>20</v>
      </c>
      <c r="I7" s="119">
        <v>1</v>
      </c>
      <c r="L7" s="150" t="s">
        <v>235</v>
      </c>
      <c r="M7" s="150"/>
      <c r="N7" s="150" t="s">
        <v>241</v>
      </c>
      <c r="O7" s="150" t="s">
        <v>254</v>
      </c>
      <c r="P7" s="151" t="str">
        <f>Bilgiler!D24&amp;" "&amp;Bilgiler!D23</f>
        <v>ŞUBAT 2026</v>
      </c>
      <c r="Q7" s="149" t="s">
        <v>236</v>
      </c>
      <c r="R7" s="150" t="s">
        <v>249</v>
      </c>
    </row>
    <row r="8" spans="1:18" ht="17.25" customHeight="1">
      <c r="A8" s="117"/>
      <c r="B8" s="118"/>
      <c r="C8" s="118"/>
      <c r="D8" s="118"/>
      <c r="E8" s="118"/>
      <c r="F8" s="118"/>
      <c r="G8" s="118"/>
      <c r="H8" s="2"/>
      <c r="I8" s="31"/>
      <c r="L8" s="134" t="s">
        <v>240</v>
      </c>
      <c r="M8" s="141" t="s">
        <v>250</v>
      </c>
      <c r="N8" s="128">
        <v>0.28000000000000003</v>
      </c>
      <c r="O8" s="136">
        <v>26005.5</v>
      </c>
      <c r="P8" s="146">
        <f>Bilgiler!A30</f>
        <v>33075.5</v>
      </c>
      <c r="Q8" s="147">
        <f>P8/O8</f>
        <v>1.2718700000000001</v>
      </c>
      <c r="R8" s="152">
        <f>(0*N8*Q8)+N8</f>
        <v>0.28000000000000003</v>
      </c>
    </row>
    <row r="9" spans="1:18" ht="23.25" customHeight="1">
      <c r="A9" s="414" t="s">
        <v>208</v>
      </c>
      <c r="B9" s="349"/>
      <c r="C9" s="349"/>
      <c r="D9" s="349" t="s">
        <v>209</v>
      </c>
      <c r="E9" s="349"/>
      <c r="F9" s="349"/>
      <c r="G9" s="349" t="s">
        <v>210</v>
      </c>
      <c r="H9" s="349"/>
      <c r="I9" s="415"/>
      <c r="L9" s="134" t="s">
        <v>237</v>
      </c>
      <c r="M9" s="141" t="s">
        <v>251</v>
      </c>
      <c r="N9" s="128">
        <v>0.22</v>
      </c>
      <c r="O9" s="135">
        <v>54.13308</v>
      </c>
      <c r="P9" s="146">
        <f>Bilgiler!C30</f>
        <v>55.395380000000003</v>
      </c>
      <c r="Q9" s="147">
        <f>P9/O9</f>
        <v>1.02332</v>
      </c>
      <c r="R9" s="152">
        <f>N9*Q9</f>
        <v>0.22513</v>
      </c>
    </row>
    <row r="10" spans="1:18" ht="22.5" customHeight="1">
      <c r="A10" s="782" t="s">
        <v>211</v>
      </c>
      <c r="B10" s="246"/>
      <c r="C10" s="246"/>
      <c r="D10" s="246" t="s">
        <v>212</v>
      </c>
      <c r="E10" s="246"/>
      <c r="F10" s="246"/>
      <c r="G10" s="246" t="s">
        <v>213</v>
      </c>
      <c r="H10" s="246"/>
      <c r="I10" s="585"/>
      <c r="L10" s="134" t="s">
        <v>238</v>
      </c>
      <c r="M10" s="141" t="s">
        <v>252</v>
      </c>
      <c r="N10" s="128">
        <v>0.25</v>
      </c>
      <c r="O10" s="135">
        <v>4632.8900000000003</v>
      </c>
      <c r="P10" s="146">
        <f>Bilgiler!E30</f>
        <v>4910.53</v>
      </c>
      <c r="Q10" s="147">
        <f>P10/O10</f>
        <v>1.05993</v>
      </c>
      <c r="R10" s="152">
        <f>N10*Q10</f>
        <v>0.26498300000000002</v>
      </c>
    </row>
    <row r="11" spans="1:18" ht="30" customHeight="1">
      <c r="A11" s="783">
        <f>Çarşaf!AV21</f>
        <v>0</v>
      </c>
      <c r="B11" s="245"/>
      <c r="C11" s="245"/>
      <c r="D11" s="246"/>
      <c r="E11" s="246"/>
      <c r="F11" s="246"/>
      <c r="G11" s="245">
        <f>A11-D11</f>
        <v>0</v>
      </c>
      <c r="H11" s="245"/>
      <c r="I11" s="784"/>
      <c r="L11" s="134" t="s">
        <v>239</v>
      </c>
      <c r="M11" s="141" t="s">
        <v>253</v>
      </c>
      <c r="N11" s="128">
        <v>0.25</v>
      </c>
      <c r="O11" s="135">
        <v>3319.76</v>
      </c>
      <c r="P11" s="146">
        <f>Bilgiler!G30</f>
        <v>3624.85</v>
      </c>
      <c r="Q11" s="147">
        <f>P11/O11</f>
        <v>1.0919000000000001</v>
      </c>
      <c r="R11" s="152">
        <f>N11*Q11</f>
        <v>0.27297500000000002</v>
      </c>
    </row>
    <row r="12" spans="1:18">
      <c r="A12" s="731" t="s">
        <v>247</v>
      </c>
      <c r="B12" s="732"/>
      <c r="C12" s="732"/>
      <c r="D12" s="732"/>
      <c r="E12" s="735" t="str">
        <f>Bilgiler!D23</f>
        <v>2026</v>
      </c>
      <c r="F12" s="736" t="str">
        <f>Bilgiler!D24</f>
        <v>ŞUBAT</v>
      </c>
      <c r="G12" s="737"/>
      <c r="H12" s="737"/>
      <c r="I12" s="738"/>
      <c r="R12" s="142"/>
    </row>
    <row r="13" spans="1:18">
      <c r="A13" s="733"/>
      <c r="B13" s="734"/>
      <c r="C13" s="734"/>
      <c r="D13" s="734"/>
      <c r="E13" s="555"/>
      <c r="F13" s="555"/>
      <c r="G13" s="555"/>
      <c r="H13" s="555"/>
      <c r="I13" s="439"/>
      <c r="R13" s="142"/>
    </row>
    <row r="14" spans="1:18" ht="23.25" customHeight="1">
      <c r="A14" s="739" t="s">
        <v>214</v>
      </c>
      <c r="B14" s="740"/>
      <c r="C14" s="740"/>
      <c r="D14" s="740"/>
      <c r="E14" s="740"/>
      <c r="F14" s="740"/>
      <c r="G14" s="740"/>
      <c r="H14" s="740"/>
      <c r="I14" s="741"/>
      <c r="L14" s="371" t="s">
        <v>242</v>
      </c>
      <c r="M14" s="143"/>
      <c r="N14" s="349" t="s">
        <v>244</v>
      </c>
      <c r="O14" s="34"/>
      <c r="P14" s="729" t="s">
        <v>224</v>
      </c>
      <c r="Q14" s="729"/>
      <c r="R14" s="144">
        <f>SUM(R8:R11)</f>
        <v>1.04</v>
      </c>
    </row>
    <row r="15" spans="1:18" ht="23.25" customHeight="1">
      <c r="A15" s="739" t="s">
        <v>215</v>
      </c>
      <c r="B15" s="740"/>
      <c r="C15" s="740"/>
      <c r="D15" s="740"/>
      <c r="E15" s="740"/>
      <c r="F15" s="740"/>
      <c r="G15" s="740"/>
      <c r="H15" s="740"/>
      <c r="I15" s="741"/>
      <c r="L15" s="371"/>
      <c r="M15" s="143"/>
      <c r="N15" s="349"/>
      <c r="O15" s="34"/>
      <c r="P15" s="729" t="s">
        <v>245</v>
      </c>
      <c r="Q15" s="729"/>
      <c r="R15" s="144">
        <f>R14-1</f>
        <v>0.04</v>
      </c>
    </row>
    <row r="16" spans="1:18" ht="23.25" customHeight="1">
      <c r="A16" s="739" t="s">
        <v>216</v>
      </c>
      <c r="B16" s="740"/>
      <c r="C16" s="740"/>
      <c r="D16" s="740"/>
      <c r="E16" s="740"/>
      <c r="F16" s="740"/>
      <c r="G16" s="740"/>
      <c r="H16" s="740"/>
      <c r="I16" s="741"/>
      <c r="L16" s="245">
        <f>A11</f>
        <v>0</v>
      </c>
      <c r="M16" s="140"/>
      <c r="N16" s="246">
        <v>0.9</v>
      </c>
      <c r="O16" s="34"/>
      <c r="P16" s="729"/>
      <c r="Q16" s="729"/>
      <c r="R16" s="144"/>
    </row>
    <row r="17" spans="1:18" ht="23.25" customHeight="1">
      <c r="A17" s="739" t="s">
        <v>217</v>
      </c>
      <c r="B17" s="740"/>
      <c r="C17" s="740"/>
      <c r="D17" s="740"/>
      <c r="E17" s="740"/>
      <c r="F17" s="740"/>
      <c r="G17" s="740"/>
      <c r="H17" s="740"/>
      <c r="I17" s="741"/>
      <c r="L17" s="246"/>
      <c r="M17" s="122"/>
      <c r="N17" s="246"/>
      <c r="O17" s="34"/>
      <c r="P17" s="730" t="s">
        <v>246</v>
      </c>
      <c r="Q17" s="730"/>
      <c r="R17" s="137">
        <f>L16*R15</f>
        <v>0</v>
      </c>
    </row>
    <row r="18" spans="1:18" ht="23.25" customHeight="1">
      <c r="A18" s="760"/>
      <c r="B18" s="761"/>
      <c r="C18" s="761"/>
      <c r="D18" s="761"/>
      <c r="E18" s="761"/>
      <c r="F18" s="761"/>
      <c r="G18" s="761"/>
      <c r="H18" s="761"/>
      <c r="I18" s="762"/>
    </row>
    <row r="19" spans="1:18">
      <c r="A19" s="760"/>
      <c r="B19" s="761"/>
      <c r="C19" s="761"/>
      <c r="D19" s="761"/>
      <c r="E19" s="761"/>
      <c r="F19" s="761"/>
      <c r="G19" s="761"/>
      <c r="H19" s="761"/>
      <c r="I19" s="762"/>
    </row>
    <row r="20" spans="1:18" ht="22.5" customHeight="1">
      <c r="A20" s="120" t="s">
        <v>218</v>
      </c>
      <c r="B20" s="34"/>
      <c r="C20" s="34"/>
      <c r="D20" s="34">
        <v>2025</v>
      </c>
      <c r="E20" s="34" t="s">
        <v>243</v>
      </c>
      <c r="F20" s="123" t="s">
        <v>219</v>
      </c>
      <c r="G20" s="122">
        <f>O10</f>
        <v>4632.8900000000003</v>
      </c>
      <c r="H20" s="34" t="s">
        <v>220</v>
      </c>
      <c r="I20" s="121"/>
    </row>
    <row r="21" spans="1:18" ht="22.5" customHeight="1">
      <c r="A21" s="120" t="s">
        <v>221</v>
      </c>
      <c r="B21" s="34"/>
      <c r="C21" s="34"/>
      <c r="D21" s="123" t="str">
        <f>Bilgiler!D23</f>
        <v>2026</v>
      </c>
      <c r="E21" s="129" t="str">
        <f>Bilgiler!D24</f>
        <v>ŞUBAT</v>
      </c>
      <c r="F21" s="123" t="s">
        <v>219</v>
      </c>
      <c r="G21" s="122">
        <f>P10</f>
        <v>4910.53</v>
      </c>
      <c r="H21" s="34" t="s">
        <v>220</v>
      </c>
      <c r="I21" s="121"/>
    </row>
    <row r="22" spans="1:18" ht="8.25" customHeight="1">
      <c r="A22" s="52"/>
      <c r="B22" s="124"/>
      <c r="C22" s="124"/>
      <c r="D22" s="124"/>
      <c r="E22" s="124"/>
      <c r="F22" s="124"/>
      <c r="G22" s="124"/>
      <c r="H22" s="124"/>
      <c r="I22" s="125"/>
    </row>
    <row r="23" spans="1:18" ht="21.75" customHeight="1">
      <c r="A23" s="731" t="s">
        <v>234</v>
      </c>
      <c r="B23" s="732"/>
      <c r="C23" s="732"/>
      <c r="D23" s="132" t="str">
        <f>Bilgiler!D23</f>
        <v>2026</v>
      </c>
      <c r="E23" s="133" t="str">
        <f>Bilgiler!D24</f>
        <v>ŞUBAT</v>
      </c>
      <c r="F23" s="130"/>
      <c r="G23" s="130"/>
      <c r="H23" s="130"/>
      <c r="I23" s="131"/>
    </row>
    <row r="24" spans="1:18">
      <c r="A24" s="126" t="s">
        <v>222</v>
      </c>
      <c r="B24" s="74" t="s">
        <v>223</v>
      </c>
      <c r="C24" s="407">
        <f>G11</f>
        <v>0</v>
      </c>
      <c r="D24" s="407"/>
      <c r="E24" s="407"/>
      <c r="F24" s="407"/>
      <c r="G24" s="407"/>
      <c r="H24" s="407"/>
      <c r="I24" s="408"/>
    </row>
    <row r="25" spans="1:18">
      <c r="A25" s="126" t="s">
        <v>212</v>
      </c>
      <c r="B25" s="74" t="s">
        <v>223</v>
      </c>
      <c r="C25" s="763">
        <v>0.9</v>
      </c>
      <c r="D25" s="763"/>
      <c r="E25" s="763"/>
      <c r="F25" s="763"/>
      <c r="G25" s="763"/>
      <c r="H25" s="763"/>
      <c r="I25" s="764"/>
    </row>
    <row r="26" spans="1:18">
      <c r="A26" s="126" t="s">
        <v>224</v>
      </c>
      <c r="B26" s="74" t="s">
        <v>223</v>
      </c>
      <c r="C26" s="763">
        <f>(N8+(0*(P8/O8)))+(N9*(P9/O9))+(N10*(P10/O10))+(N11*(P11/O11))</f>
        <v>1.04</v>
      </c>
      <c r="D26" s="763"/>
      <c r="E26" s="763"/>
      <c r="F26" s="763"/>
      <c r="G26" s="763"/>
      <c r="H26" s="763"/>
      <c r="I26" s="764"/>
    </row>
    <row r="27" spans="1:18">
      <c r="A27" s="127" t="s">
        <v>225</v>
      </c>
      <c r="B27" s="74" t="s">
        <v>223</v>
      </c>
      <c r="C27" s="763">
        <f>ROUND(C25*(C26-1),3)</f>
        <v>0.04</v>
      </c>
      <c r="D27" s="763"/>
      <c r="E27" s="763"/>
      <c r="F27" s="763"/>
      <c r="G27" s="763"/>
      <c r="H27" s="763"/>
      <c r="I27" s="764"/>
    </row>
    <row r="28" spans="1:18">
      <c r="A28" s="126" t="s">
        <v>226</v>
      </c>
      <c r="B28" s="74" t="s">
        <v>223</v>
      </c>
      <c r="C28" s="407">
        <f>ROUND(C24*C27,2)</f>
        <v>0</v>
      </c>
      <c r="D28" s="407"/>
      <c r="E28" s="407"/>
      <c r="F28" s="407"/>
      <c r="G28" s="407"/>
      <c r="H28" s="407"/>
      <c r="I28" s="408"/>
    </row>
    <row r="29" spans="1:18">
      <c r="A29" s="22"/>
      <c r="I29" s="19"/>
    </row>
    <row r="30" spans="1:18" ht="30" customHeight="1">
      <c r="A30" s="138" t="str">
        <f>Bilgiler!D23</f>
        <v>2026</v>
      </c>
      <c r="B30" s="139" t="str">
        <f>Bilgiler!D24</f>
        <v>ŞUBAT</v>
      </c>
      <c r="C30" s="777" t="s">
        <v>248</v>
      </c>
      <c r="D30" s="777"/>
      <c r="E30" s="777"/>
      <c r="F30" s="765">
        <f>C28</f>
        <v>0</v>
      </c>
      <c r="G30" s="765"/>
      <c r="H30" s="765"/>
      <c r="I30" s="766"/>
    </row>
    <row r="31" spans="1:18">
      <c r="A31" s="22"/>
      <c r="I31" s="19"/>
    </row>
    <row r="32" spans="1:18">
      <c r="A32" s="22"/>
      <c r="I32" s="19"/>
    </row>
    <row r="33" spans="1:9">
      <c r="A33" s="22"/>
      <c r="I33" s="19"/>
    </row>
    <row r="34" spans="1:9" ht="15" customHeight="1">
      <c r="A34" s="767" t="s">
        <v>14</v>
      </c>
      <c r="B34" s="768"/>
      <c r="C34" s="768"/>
      <c r="D34" s="768"/>
      <c r="E34" s="769"/>
      <c r="F34" s="773" t="str">
        <f>Çarşaf!A23</f>
        <v>KONTROL</v>
      </c>
      <c r="G34" s="768"/>
      <c r="H34" s="768"/>
      <c r="I34" s="774"/>
    </row>
    <row r="35" spans="1:9" ht="15" customHeight="1">
      <c r="A35" s="770"/>
      <c r="B35" s="771"/>
      <c r="C35" s="771"/>
      <c r="D35" s="771"/>
      <c r="E35" s="772"/>
      <c r="F35" s="775"/>
      <c r="G35" s="771"/>
      <c r="H35" s="771"/>
      <c r="I35" s="776"/>
    </row>
    <row r="36" spans="1:9" ht="15" customHeight="1">
      <c r="A36" s="742" t="str">
        <f>Bilgiler!D3</f>
        <v>ER-SAN ELEKTRİK İNŞ. TAAH.TİC.LTD.ŞTİ.</v>
      </c>
      <c r="B36" s="743"/>
      <c r="C36" s="743"/>
      <c r="D36" s="743"/>
      <c r="E36" s="744"/>
      <c r="F36" s="748" t="str">
        <f>Bilgiler!D12</f>
        <v xml:space="preserve"> ÖMER FARUK YAŞAR      -     HARUN KAZANCI    -      ÖMER BUCAK</v>
      </c>
      <c r="G36" s="749"/>
      <c r="H36" s="749"/>
      <c r="I36" s="750"/>
    </row>
    <row r="37" spans="1:9" ht="15" customHeight="1">
      <c r="A37" s="742"/>
      <c r="B37" s="743"/>
      <c r="C37" s="743"/>
      <c r="D37" s="743"/>
      <c r="E37" s="744"/>
      <c r="F37" s="751"/>
      <c r="G37" s="752"/>
      <c r="H37" s="752"/>
      <c r="I37" s="753"/>
    </row>
    <row r="38" spans="1:9" ht="15" customHeight="1">
      <c r="A38" s="742"/>
      <c r="B38" s="743"/>
      <c r="C38" s="743"/>
      <c r="D38" s="743"/>
      <c r="E38" s="744"/>
      <c r="F38" s="751"/>
      <c r="G38" s="752"/>
      <c r="H38" s="752"/>
      <c r="I38" s="753"/>
    </row>
    <row r="39" spans="1:9" ht="15" customHeight="1">
      <c r="A39" s="742"/>
      <c r="B39" s="743"/>
      <c r="C39" s="743"/>
      <c r="D39" s="743"/>
      <c r="E39" s="744"/>
      <c r="F39" s="754" t="str">
        <f>Bilgiler!D13</f>
        <v>İDARİ İŞLER SORUMLUSU  -  OKUMA YÖNETİCİSİ -   SAYAÇ VERİ GİRİŞ OP.</v>
      </c>
      <c r="G39" s="755"/>
      <c r="H39" s="755"/>
      <c r="I39" s="756"/>
    </row>
    <row r="40" spans="1:9" ht="15" customHeight="1">
      <c r="A40" s="742"/>
      <c r="B40" s="743"/>
      <c r="C40" s="743"/>
      <c r="D40" s="743"/>
      <c r="E40" s="744"/>
      <c r="F40" s="754"/>
      <c r="G40" s="755"/>
      <c r="H40" s="755"/>
      <c r="I40" s="756"/>
    </row>
    <row r="41" spans="1:9" ht="15.75" customHeight="1" thickBot="1">
      <c r="A41" s="745"/>
      <c r="B41" s="746"/>
      <c r="C41" s="746"/>
      <c r="D41" s="746"/>
      <c r="E41" s="747"/>
      <c r="F41" s="757"/>
      <c r="G41" s="758"/>
      <c r="H41" s="758"/>
      <c r="I41" s="759"/>
    </row>
    <row r="42" spans="1:9" ht="15" thickTop="1"/>
  </sheetData>
  <mergeCells count="43">
    <mergeCell ref="A10:C10"/>
    <mergeCell ref="D10:F10"/>
    <mergeCell ref="G10:I10"/>
    <mergeCell ref="A11:C11"/>
    <mergeCell ref="D11:F11"/>
    <mergeCell ref="G11:I11"/>
    <mergeCell ref="C2:I2"/>
    <mergeCell ref="C3:I3"/>
    <mergeCell ref="C4:I4"/>
    <mergeCell ref="A6:G7"/>
    <mergeCell ref="A9:C9"/>
    <mergeCell ref="D9:F9"/>
    <mergeCell ref="G9:I9"/>
    <mergeCell ref="A36:E41"/>
    <mergeCell ref="F36:I38"/>
    <mergeCell ref="F39:I41"/>
    <mergeCell ref="A18:I19"/>
    <mergeCell ref="C27:I27"/>
    <mergeCell ref="C28:I28"/>
    <mergeCell ref="F30:I30"/>
    <mergeCell ref="A34:E35"/>
    <mergeCell ref="F34:I35"/>
    <mergeCell ref="C24:I24"/>
    <mergeCell ref="C25:I25"/>
    <mergeCell ref="C26:I26"/>
    <mergeCell ref="C30:E30"/>
    <mergeCell ref="A23:C23"/>
    <mergeCell ref="P14:Q14"/>
    <mergeCell ref="P15:Q15"/>
    <mergeCell ref="P16:Q16"/>
    <mergeCell ref="P17:Q17"/>
    <mergeCell ref="A12:D13"/>
    <mergeCell ref="E12:E13"/>
    <mergeCell ref="F12:F13"/>
    <mergeCell ref="G12:I13"/>
    <mergeCell ref="A14:I14"/>
    <mergeCell ref="A15:I15"/>
    <mergeCell ref="L14:L15"/>
    <mergeCell ref="N14:N15"/>
    <mergeCell ref="L16:L17"/>
    <mergeCell ref="N16:N17"/>
    <mergeCell ref="A16:I16"/>
    <mergeCell ref="A17:I17"/>
  </mergeCells>
  <pageMargins left="0.51" right="0.2" top="0.57999999999999996" bottom="0.53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10</vt:i4>
      </vt:variant>
    </vt:vector>
  </HeadingPairs>
  <TitlesOfParts>
    <vt:vector size="19" baseType="lpstr">
      <vt:lpstr>Bilgiler</vt:lpstr>
      <vt:lpstr>İcmal</vt:lpstr>
      <vt:lpstr>BFTC</vt:lpstr>
      <vt:lpstr>Ön Kapak</vt:lpstr>
      <vt:lpstr>Arka Kapak</vt:lpstr>
      <vt:lpstr>İş Takip-Ön Yüz</vt:lpstr>
      <vt:lpstr>İş Takip Arka Yüz</vt:lpstr>
      <vt:lpstr>Çarşaf</vt:lpstr>
      <vt:lpstr>Fiyat Farkı Tutanağı</vt:lpstr>
      <vt:lpstr>'Arka Kapak'!Yazdırma_Alanı</vt:lpstr>
      <vt:lpstr>BFTC!Yazdırma_Alanı</vt:lpstr>
      <vt:lpstr>Bilgiler!Yazdırma_Alanı</vt:lpstr>
      <vt:lpstr>Çarşaf!Yazdırma_Alanı</vt:lpstr>
      <vt:lpstr>'Fiyat Farkı Tutanağı'!Yazdırma_Alanı</vt:lpstr>
      <vt:lpstr>İcmal!Yazdırma_Alanı</vt:lpstr>
      <vt:lpstr>'İş Takip Arka Yüz'!Yazdırma_Alanı</vt:lpstr>
      <vt:lpstr>'İş Takip-Ön Yüz'!Yazdırma_Alanı</vt:lpstr>
      <vt:lpstr>'Ön Kapak'!Yazdırma_Alanı</vt:lpstr>
      <vt:lpstr>BFTC!Yazdırma_Başlıkları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Abdulkerim KURTULAN</dc:creator>
  <cp:lastModifiedBy>Volkan er</cp:lastModifiedBy>
  <cp:lastPrinted>2025-12-06T12:17:57Z</cp:lastPrinted>
  <dcterms:created xsi:type="dcterms:W3CDTF">2006-09-26T09:04:32Z</dcterms:created>
  <dcterms:modified xsi:type="dcterms:W3CDTF">2026-02-03T14:19:32Z</dcterms:modified>
</cp:coreProperties>
</file>